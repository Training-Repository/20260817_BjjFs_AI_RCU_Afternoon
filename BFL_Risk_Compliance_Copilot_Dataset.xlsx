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Portfolio Risk" sheetId="1" state="visible" r:id="rId1"/>
    <sheet xmlns:r="http://schemas.openxmlformats.org/officeDocument/2006/relationships" name="Fraud Pattern Detection" sheetId="2" state="visible" r:id="rId2"/>
    <sheet xmlns:r="http://schemas.openxmlformats.org/officeDocument/2006/relationships" name="Risk Reporting Dashboard" sheetId="3" state="visible" r:id="rId3"/>
    <sheet xmlns:r="http://schemas.openxmlformats.org/officeDocument/2006/relationships" name="Policy Compliance Tracker" sheetId="4" state="visible" r:id="rId4"/>
    <sheet xmlns:r="http://schemas.openxmlformats.org/officeDocument/2006/relationships" name="Risk Monitoring Sign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"/>
    <numFmt numFmtId="166" formatCode="₹#,##0"/>
    <numFmt numFmtId="167" formatCode="0.0%"/>
    <numFmt numFmtId="168" formatCode="#,##0.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sz val="9"/>
    </font>
    <font>
      <name val="Arial"/>
      <b val="1"/>
      <color rgb="00000000"/>
      <sz val="9"/>
    </font>
    <font>
      <name val="Arial"/>
      <b val="1"/>
      <color rgb="0008296C"/>
      <sz val="10"/>
    </font>
    <font>
      <name val="Arial"/>
      <b val="1"/>
      <sz val="9"/>
    </font>
    <font>
      <name val="Arial"/>
      <color rgb="00C00000"/>
      <sz val="9"/>
    </font>
    <font>
      <name val="Arial"/>
      <b val="1"/>
      <color rgb="007F6000"/>
      <sz val="9"/>
    </font>
    <font>
      <name val="Arial"/>
      <b val="1"/>
      <color rgb="00375623"/>
      <sz val="9"/>
    </font>
    <font>
      <name val="Arial"/>
      <color rgb="00375623"/>
      <sz val="9"/>
    </font>
    <font>
      <name val="Arial"/>
      <b val="1"/>
      <color rgb="00C00000"/>
      <sz val="9"/>
    </font>
    <font>
      <name val="Arial"/>
      <b val="1"/>
      <color rgb="00FAA41A"/>
      <sz val="9"/>
    </font>
  </fonts>
  <fills count="14">
    <fill>
      <patternFill/>
    </fill>
    <fill>
      <patternFill patternType="gray125"/>
    </fill>
    <fill>
      <patternFill patternType="solid">
        <fgColor rgb="0008296C"/>
      </patternFill>
    </fill>
    <fill>
      <patternFill patternType="solid">
        <fgColor rgb="00464DA1"/>
      </patternFill>
    </fill>
    <fill>
      <patternFill patternType="solid">
        <fgColor rgb="00FFE5B4"/>
      </patternFill>
    </fill>
    <fill>
      <patternFill patternType="solid">
        <fgColor rgb="00FFF2CC"/>
      </patternFill>
    </fill>
    <fill>
      <patternFill patternType="solid">
        <fgColor rgb="00FFCC99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FFAAAA"/>
      </patternFill>
    </fill>
    <fill>
      <patternFill patternType="solid">
        <fgColor rgb="00FF6666"/>
      </patternFill>
    </fill>
    <fill>
      <patternFill patternType="solid">
        <fgColor rgb="00DCE6F1"/>
      </patternFill>
    </fill>
    <fill>
      <patternFill patternType="solid">
        <fgColor rgb="00892226"/>
      </patternFill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center"/>
    </xf>
    <xf numFmtId="166" fontId="2" fillId="0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167" fontId="2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0" fontId="1" fillId="12" borderId="0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2" fontId="4" fillId="10" borderId="1" applyAlignment="1" pivotButton="0" quotePrefix="0" xfId="0">
      <alignment horizontal="center" vertical="center" wrapText="1"/>
    </xf>
    <xf numFmtId="2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 wrapText="1"/>
    </xf>
    <xf numFmtId="168" fontId="2" fillId="0" borderId="1" applyAlignment="1" pivotButton="0" quotePrefix="0" xfId="0">
      <alignment horizontal="right" vertical="center" wrapText="1"/>
    </xf>
    <xf numFmtId="0" fontId="4" fillId="1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8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6" customWidth="1" min="5" max="5"/>
    <col width="16" customWidth="1" min="6" max="6"/>
    <col width="10" customWidth="1" min="7" max="7"/>
    <col width="14" customWidth="1" min="8" max="8"/>
    <col width="14" customWidth="1" min="9" max="9"/>
    <col width="16" customWidth="1" min="10" max="10"/>
    <col width="13" customWidth="1" min="11" max="11"/>
    <col width="16" customWidth="1" min="12" max="12"/>
    <col width="12" customWidth="1" min="13" max="13"/>
    <col width="38" customWidth="1" min="14" max="14"/>
  </cols>
  <sheetData>
    <row r="1" ht="28" customHeight="1">
      <c r="A1" s="1" t="inlineStr">
        <is>
          <t>LOAN PORTFOLIO RISK ANALYSIS — BFL RETAIL CREDIT (Q1 FY2025-26)</t>
        </is>
      </c>
    </row>
    <row r="2" ht="38" customHeight="1">
      <c r="A2" s="2" t="inlineStr">
        <is>
          <t>Loan ID</t>
        </is>
      </c>
      <c r="B2" s="2" t="inlineStr">
        <is>
          <t>Customer Name</t>
        </is>
      </c>
      <c r="C2" s="2" t="inlineStr">
        <is>
          <t>Product Type</t>
        </is>
      </c>
      <c r="D2" s="2" t="inlineStr">
        <is>
          <t>Disbursement Date</t>
        </is>
      </c>
      <c r="E2" s="2" t="inlineStr">
        <is>
          <t>Loan Amount (₹)</t>
        </is>
      </c>
      <c r="F2" s="2" t="inlineStr">
        <is>
          <t>Outstanding (₹)</t>
        </is>
      </c>
      <c r="G2" s="2" t="inlineStr">
        <is>
          <t>Tenor (Months)</t>
        </is>
      </c>
      <c r="H2" s="2" t="inlineStr">
        <is>
          <t>EMI (₹)</t>
        </is>
      </c>
      <c r="I2" s="2" t="inlineStr">
        <is>
          <t>DPD Bucket</t>
        </is>
      </c>
      <c r="J2" s="2" t="inlineStr">
        <is>
          <t>NPA Status</t>
        </is>
      </c>
      <c r="K2" s="2" t="inlineStr">
        <is>
          <t>Provision Rate (%)</t>
        </is>
      </c>
      <c r="L2" s="2" t="inlineStr">
        <is>
          <t>Provision Amt (₹)</t>
        </is>
      </c>
      <c r="M2" s="2" t="inlineStr">
        <is>
          <t>Risk Rating</t>
        </is>
      </c>
      <c r="N2" s="2" t="inlineStr">
        <is>
          <t>Remarks</t>
        </is>
      </c>
    </row>
    <row r="3">
      <c r="A3" s="3" t="inlineStr">
        <is>
          <t>BFL20250001</t>
        </is>
      </c>
      <c r="B3" s="4" t="inlineStr">
        <is>
          <t>Rajesh Kumar Sharma</t>
        </is>
      </c>
      <c r="C3" s="4" t="inlineStr">
        <is>
          <t>Home Loan</t>
        </is>
      </c>
      <c r="D3" s="5" t="n">
        <v>45256</v>
      </c>
      <c r="E3" s="6" t="n">
        <v>500000</v>
      </c>
      <c r="F3" s="6" t="n">
        <v>117834</v>
      </c>
      <c r="G3" s="3" t="n">
        <v>24</v>
      </c>
      <c r="H3" s="6" t="n">
        <v>24006</v>
      </c>
      <c r="I3" s="7" t="inlineStr">
        <is>
          <t>31-60 DPD</t>
        </is>
      </c>
      <c r="J3" s="3" t="inlineStr">
        <is>
          <t>Special Mention</t>
        </is>
      </c>
      <c r="K3" s="8" t="n">
        <v>0.15</v>
      </c>
      <c r="L3" s="6" t="n">
        <v>17675</v>
      </c>
      <c r="M3" s="9" t="inlineStr">
        <is>
          <t>B+</t>
        </is>
      </c>
      <c r="N3" s="4" t="inlineStr">
        <is>
          <t>Payment delay; soft collection triggered</t>
        </is>
      </c>
    </row>
    <row r="4">
      <c r="A4" s="3" t="inlineStr">
        <is>
          <t>BFL20250002</t>
        </is>
      </c>
      <c r="B4" s="4" t="inlineStr">
        <is>
          <t>Priya Mehta</t>
        </is>
      </c>
      <c r="C4" s="4" t="inlineStr">
        <is>
          <t>Business Loan</t>
        </is>
      </c>
      <c r="D4" s="5" t="n">
        <v>45112</v>
      </c>
      <c r="E4" s="6" t="n">
        <v>1000000</v>
      </c>
      <c r="F4" s="6" t="n">
        <v>0</v>
      </c>
      <c r="G4" s="3" t="n">
        <v>12</v>
      </c>
      <c r="H4" s="6" t="n">
        <v>89787</v>
      </c>
      <c r="I4" s="10" t="inlineStr">
        <is>
          <t>61-90 DPD</t>
        </is>
      </c>
      <c r="J4" s="3" t="inlineStr">
        <is>
          <t>Sub-Standard</t>
        </is>
      </c>
      <c r="K4" s="8" t="n">
        <v>0.25</v>
      </c>
      <c r="L4" s="6" t="n">
        <v>0</v>
      </c>
      <c r="M4" s="9" t="inlineStr">
        <is>
          <t>B</t>
        </is>
      </c>
      <c r="N4" s="4" t="inlineStr">
        <is>
          <t>Hard collection; legal notice likely</t>
        </is>
      </c>
    </row>
    <row r="5">
      <c r="A5" s="3" t="inlineStr">
        <is>
          <t>BFL20250003</t>
        </is>
      </c>
      <c r="B5" s="4" t="inlineStr">
        <is>
          <t>Suresh Patil</t>
        </is>
      </c>
      <c r="C5" s="4" t="inlineStr">
        <is>
          <t>Two-Wheeler Loan</t>
        </is>
      </c>
      <c r="D5" s="5" t="n">
        <v>45185</v>
      </c>
      <c r="E5" s="6" t="n">
        <v>2000000</v>
      </c>
      <c r="F5" s="6" t="n">
        <v>305429</v>
      </c>
      <c r="G5" s="3" t="n">
        <v>24</v>
      </c>
      <c r="H5" s="6" t="n">
        <v>96026</v>
      </c>
      <c r="I5" s="10" t="inlineStr">
        <is>
          <t>61-90 DPD</t>
        </is>
      </c>
      <c r="J5" s="3" t="inlineStr">
        <is>
          <t>Sub-Standard</t>
        </is>
      </c>
      <c r="K5" s="8" t="n">
        <v>0.25</v>
      </c>
      <c r="L5" s="6" t="n">
        <v>76357</v>
      </c>
      <c r="M5" s="9" t="inlineStr">
        <is>
          <t>B</t>
        </is>
      </c>
      <c r="N5" s="4" t="inlineStr">
        <is>
          <t>Hard collection; legal notice likely</t>
        </is>
      </c>
    </row>
    <row r="6">
      <c r="A6" s="3" t="inlineStr">
        <is>
          <t>BFL20250004</t>
        </is>
      </c>
      <c r="B6" s="4" t="inlineStr">
        <is>
          <t>Anita Desai</t>
        </is>
      </c>
      <c r="C6" s="4" t="inlineStr">
        <is>
          <t>Personal Loan</t>
        </is>
      </c>
      <c r="D6" s="5" t="n">
        <v>45174</v>
      </c>
      <c r="E6" s="6" t="n">
        <v>800000</v>
      </c>
      <c r="F6" s="6" t="n">
        <v>0</v>
      </c>
      <c r="G6" s="3" t="n">
        <v>18</v>
      </c>
      <c r="H6" s="6" t="n">
        <v>49532</v>
      </c>
      <c r="I6" s="7" t="inlineStr">
        <is>
          <t>31-60 DPD</t>
        </is>
      </c>
      <c r="J6" s="3" t="inlineStr">
        <is>
          <t>Special Mention</t>
        </is>
      </c>
      <c r="K6" s="8" t="n">
        <v>0.15</v>
      </c>
      <c r="L6" s="6" t="n">
        <v>0</v>
      </c>
      <c r="M6" s="9" t="inlineStr">
        <is>
          <t>B+</t>
        </is>
      </c>
      <c r="N6" s="4" t="inlineStr">
        <is>
          <t>Payment delay; soft collection triggered</t>
        </is>
      </c>
    </row>
    <row r="7">
      <c r="A7" s="3" t="inlineStr">
        <is>
          <t>BFL20250005</t>
        </is>
      </c>
      <c r="B7" s="4" t="inlineStr">
        <is>
          <t>Vikram Singh</t>
        </is>
      </c>
      <c r="C7" s="4" t="inlineStr">
        <is>
          <t>Gold Loan</t>
        </is>
      </c>
      <c r="D7" s="5" t="n">
        <v>45247</v>
      </c>
      <c r="E7" s="6" t="n">
        <v>1500000</v>
      </c>
      <c r="F7" s="6" t="n">
        <v>722322</v>
      </c>
      <c r="G7" s="3" t="n">
        <v>36</v>
      </c>
      <c r="H7" s="6" t="n">
        <v>51266</v>
      </c>
      <c r="I7" s="9" t="inlineStr">
        <is>
          <t>1-30 DPD</t>
        </is>
      </c>
      <c r="J7" s="3" t="inlineStr">
        <is>
          <t>Special Mention</t>
        </is>
      </c>
      <c r="K7" s="8" t="n">
        <v>0.05</v>
      </c>
      <c r="L7" s="6" t="n">
        <v>36116</v>
      </c>
      <c r="M7" s="11" t="inlineStr">
        <is>
          <t>A</t>
        </is>
      </c>
      <c r="N7" s="4" t="inlineStr">
        <is>
          <t>Mild delay; follow-up initiated</t>
        </is>
      </c>
    </row>
    <row r="8">
      <c r="A8" s="3" t="inlineStr">
        <is>
          <t>BFL20250006</t>
        </is>
      </c>
      <c r="B8" s="4" t="inlineStr">
        <is>
          <t>Sunita Yadav</t>
        </is>
      </c>
      <c r="C8" s="4" t="inlineStr">
        <is>
          <t>Consumer Durable</t>
        </is>
      </c>
      <c r="D8" s="5" t="n">
        <v>45262</v>
      </c>
      <c r="E8" s="6" t="n">
        <v>150000</v>
      </c>
      <c r="F8" s="6" t="n">
        <v>86135</v>
      </c>
      <c r="G8" s="3" t="n">
        <v>48</v>
      </c>
      <c r="H8" s="6" t="n">
        <v>4099</v>
      </c>
      <c r="I8" s="12" t="inlineStr">
        <is>
          <t>91-180 DPD</t>
        </is>
      </c>
      <c r="J8" s="3" t="inlineStr">
        <is>
          <t>Doubtful</t>
        </is>
      </c>
      <c r="K8" s="8" t="n">
        <v>0.4</v>
      </c>
      <c r="L8" s="6" t="n">
        <v>34454</v>
      </c>
      <c r="M8" s="12" t="inlineStr">
        <is>
          <t>C</t>
        </is>
      </c>
      <c r="N8" s="4" t="inlineStr">
        <is>
          <t>NPA classification; provisioning raised</t>
        </is>
      </c>
    </row>
    <row r="9">
      <c r="A9" s="3" t="inlineStr">
        <is>
          <t>BFL20250007</t>
        </is>
      </c>
      <c r="B9" s="4" t="inlineStr">
        <is>
          <t>Manoj Tiwari</t>
        </is>
      </c>
      <c r="C9" s="4" t="inlineStr">
        <is>
          <t>Two-Wheeler Loan</t>
        </is>
      </c>
      <c r="D9" s="5" t="n">
        <v>45108</v>
      </c>
      <c r="E9" s="6" t="n">
        <v>500000</v>
      </c>
      <c r="F9" s="6" t="n">
        <v>18002</v>
      </c>
      <c r="G9" s="3" t="n">
        <v>24</v>
      </c>
      <c r="H9" s="6" t="n">
        <v>24006</v>
      </c>
      <c r="I9" s="9" t="inlineStr">
        <is>
          <t>1-30 DPD</t>
        </is>
      </c>
      <c r="J9" s="3" t="inlineStr">
        <is>
          <t>Special Mention</t>
        </is>
      </c>
      <c r="K9" s="8" t="n">
        <v>0.05</v>
      </c>
      <c r="L9" s="6" t="n">
        <v>900</v>
      </c>
      <c r="M9" s="11" t="inlineStr">
        <is>
          <t>A</t>
        </is>
      </c>
      <c r="N9" s="4" t="inlineStr">
        <is>
          <t>Mild delay; follow-up initiated</t>
        </is>
      </c>
    </row>
    <row r="10">
      <c r="A10" s="3" t="inlineStr">
        <is>
          <t>BFL20250008</t>
        </is>
      </c>
      <c r="B10" s="4" t="inlineStr">
        <is>
          <t>Kavita Nair</t>
        </is>
      </c>
      <c r="C10" s="4" t="inlineStr">
        <is>
          <t>Business Loan</t>
        </is>
      </c>
      <c r="D10" s="5" t="n">
        <v>45048</v>
      </c>
      <c r="E10" s="6" t="n">
        <v>1500000</v>
      </c>
      <c r="F10" s="6" t="n">
        <v>0</v>
      </c>
      <c r="G10" s="3" t="n">
        <v>24</v>
      </c>
      <c r="H10" s="6" t="n">
        <v>72019</v>
      </c>
      <c r="I10" s="11" t="inlineStr">
        <is>
          <t>0 DPD</t>
        </is>
      </c>
      <c r="J10" s="3" t="inlineStr">
        <is>
          <t>Standard</t>
        </is>
      </c>
      <c r="K10" s="8" t="n">
        <v>0.005</v>
      </c>
      <c r="L10" s="6" t="n">
        <v>0</v>
      </c>
      <c r="M10" s="11" t="inlineStr">
        <is>
          <t>A+</t>
        </is>
      </c>
      <c r="N10" s="4" t="inlineStr">
        <is>
          <t>Regular repayment track record</t>
        </is>
      </c>
    </row>
    <row r="11">
      <c r="A11" s="3" t="inlineStr">
        <is>
          <t>BFL20250009</t>
        </is>
      </c>
      <c r="B11" s="4" t="inlineStr">
        <is>
          <t>Deepak Joshi</t>
        </is>
      </c>
      <c r="C11" s="4" t="inlineStr">
        <is>
          <t>Personal Loan</t>
        </is>
      </c>
      <c r="D11" s="5" t="n">
        <v>45041</v>
      </c>
      <c r="E11" s="6" t="n">
        <v>250000</v>
      </c>
      <c r="F11" s="6" t="n">
        <v>0</v>
      </c>
      <c r="G11" s="3" t="n">
        <v>12</v>
      </c>
      <c r="H11" s="6" t="n">
        <v>22447</v>
      </c>
      <c r="I11" s="9" t="inlineStr">
        <is>
          <t>1-30 DPD</t>
        </is>
      </c>
      <c r="J11" s="3" t="inlineStr">
        <is>
          <t>Special Mention</t>
        </is>
      </c>
      <c r="K11" s="8" t="n">
        <v>0.05</v>
      </c>
      <c r="L11" s="6" t="n">
        <v>0</v>
      </c>
      <c r="M11" s="11" t="inlineStr">
        <is>
          <t>A</t>
        </is>
      </c>
      <c r="N11" s="4" t="inlineStr">
        <is>
          <t>Mild delay; follow-up initiated</t>
        </is>
      </c>
    </row>
    <row r="12">
      <c r="A12" s="3" t="inlineStr">
        <is>
          <t>BFL20250010</t>
        </is>
      </c>
      <c r="B12" s="4" t="inlineStr">
        <is>
          <t>Rekha Agarwal</t>
        </is>
      </c>
      <c r="C12" s="4" t="inlineStr">
        <is>
          <t>Personal Loan</t>
        </is>
      </c>
      <c r="D12" s="5" t="n">
        <v>45162</v>
      </c>
      <c r="E12" s="6" t="n">
        <v>1500000</v>
      </c>
      <c r="F12" s="6" t="n">
        <v>175726</v>
      </c>
      <c r="G12" s="3" t="n">
        <v>24</v>
      </c>
      <c r="H12" s="6" t="n">
        <v>72019</v>
      </c>
      <c r="I12" s="10" t="inlineStr">
        <is>
          <t>61-90 DPD</t>
        </is>
      </c>
      <c r="J12" s="3" t="inlineStr">
        <is>
          <t>Sub-Standard</t>
        </is>
      </c>
      <c r="K12" s="8" t="n">
        <v>0.25</v>
      </c>
      <c r="L12" s="6" t="n">
        <v>43932</v>
      </c>
      <c r="M12" s="9" t="inlineStr">
        <is>
          <t>B</t>
        </is>
      </c>
      <c r="N12" s="4" t="inlineStr">
        <is>
          <t>Hard collection; legal notice likely</t>
        </is>
      </c>
    </row>
    <row r="13">
      <c r="A13" s="3" t="inlineStr">
        <is>
          <t>BFL20250011</t>
        </is>
      </c>
      <c r="B13" s="4" t="inlineStr">
        <is>
          <t>Amit Gupta</t>
        </is>
      </c>
      <c r="C13" s="4" t="inlineStr">
        <is>
          <t>Home Loan</t>
        </is>
      </c>
      <c r="D13" s="5" t="n">
        <v>45019</v>
      </c>
      <c r="E13" s="6" t="n">
        <v>1000000</v>
      </c>
      <c r="F13" s="6" t="n">
        <v>0</v>
      </c>
      <c r="G13" s="3" t="n">
        <v>12</v>
      </c>
      <c r="H13" s="6" t="n">
        <v>89787</v>
      </c>
      <c r="I13" s="9" t="inlineStr">
        <is>
          <t>1-30 DPD</t>
        </is>
      </c>
      <c r="J13" s="3" t="inlineStr">
        <is>
          <t>Special Mention</t>
        </is>
      </c>
      <c r="K13" s="8" t="n">
        <v>0.05</v>
      </c>
      <c r="L13" s="6" t="n">
        <v>0</v>
      </c>
      <c r="M13" s="11" t="inlineStr">
        <is>
          <t>A</t>
        </is>
      </c>
      <c r="N13" s="4" t="inlineStr">
        <is>
          <t>Mild delay; follow-up initiated</t>
        </is>
      </c>
    </row>
    <row r="14">
      <c r="A14" s="3" t="inlineStr">
        <is>
          <t>BFL20250012</t>
        </is>
      </c>
      <c r="B14" s="4" t="inlineStr">
        <is>
          <t>Pooja Mishra</t>
        </is>
      </c>
      <c r="C14" s="4" t="inlineStr">
        <is>
          <t>Two-Wheeler Loan</t>
        </is>
      </c>
      <c r="D14" s="5" t="n">
        <v>44947</v>
      </c>
      <c r="E14" s="6" t="n">
        <v>500000</v>
      </c>
      <c r="F14" s="6" t="n">
        <v>111071</v>
      </c>
      <c r="G14" s="3" t="n">
        <v>36</v>
      </c>
      <c r="H14" s="6" t="n">
        <v>17089</v>
      </c>
      <c r="I14" s="9" t="inlineStr">
        <is>
          <t>1-30 DPD</t>
        </is>
      </c>
      <c r="J14" s="3" t="inlineStr">
        <is>
          <t>Special Mention</t>
        </is>
      </c>
      <c r="K14" s="8" t="n">
        <v>0.05</v>
      </c>
      <c r="L14" s="6" t="n">
        <v>5554</v>
      </c>
      <c r="M14" s="11" t="inlineStr">
        <is>
          <t>A</t>
        </is>
      </c>
      <c r="N14" s="4" t="inlineStr">
        <is>
          <t>Mild delay; follow-up initiated</t>
        </is>
      </c>
    </row>
    <row r="15">
      <c r="A15" s="3" t="inlineStr">
        <is>
          <t>BFL20250013</t>
        </is>
      </c>
      <c r="B15" s="4" t="inlineStr">
        <is>
          <t>Sanjay Verma</t>
        </is>
      </c>
      <c r="C15" s="4" t="inlineStr">
        <is>
          <t>Home Loan</t>
        </is>
      </c>
      <c r="D15" s="5" t="n">
        <v>45079</v>
      </c>
      <c r="E15" s="6" t="n">
        <v>500000</v>
      </c>
      <c r="F15" s="6" t="n">
        <v>0</v>
      </c>
      <c r="G15" s="3" t="n">
        <v>18</v>
      </c>
      <c r="H15" s="6" t="n">
        <v>30958</v>
      </c>
      <c r="I15" s="11" t="inlineStr">
        <is>
          <t>0 DPD</t>
        </is>
      </c>
      <c r="J15" s="3" t="inlineStr">
        <is>
          <t>Standard</t>
        </is>
      </c>
      <c r="K15" s="8" t="n">
        <v>0.005</v>
      </c>
      <c r="L15" s="6" t="n">
        <v>0</v>
      </c>
      <c r="M15" s="11" t="inlineStr">
        <is>
          <t>A+</t>
        </is>
      </c>
      <c r="N15" s="4" t="inlineStr">
        <is>
          <t>Regular repayment track record</t>
        </is>
      </c>
    </row>
    <row r="16">
      <c r="A16" s="3" t="inlineStr">
        <is>
          <t>BFL20250014</t>
        </is>
      </c>
      <c r="B16" s="4" t="inlineStr">
        <is>
          <t>Neha Kapoor</t>
        </is>
      </c>
      <c r="C16" s="4" t="inlineStr">
        <is>
          <t>Gold Loan</t>
        </is>
      </c>
      <c r="D16" s="5" t="n">
        <v>45189</v>
      </c>
      <c r="E16" s="6" t="n">
        <v>250000</v>
      </c>
      <c r="F16" s="6" t="n">
        <v>162255</v>
      </c>
      <c r="G16" s="3" t="n">
        <v>60</v>
      </c>
      <c r="H16" s="6" t="n">
        <v>5817</v>
      </c>
      <c r="I16" s="9" t="inlineStr">
        <is>
          <t>1-30 DPD</t>
        </is>
      </c>
      <c r="J16" s="3" t="inlineStr">
        <is>
          <t>Special Mention</t>
        </is>
      </c>
      <c r="K16" s="8" t="n">
        <v>0.05</v>
      </c>
      <c r="L16" s="6" t="n">
        <v>8113</v>
      </c>
      <c r="M16" s="11" t="inlineStr">
        <is>
          <t>A</t>
        </is>
      </c>
      <c r="N16" s="4" t="inlineStr">
        <is>
          <t>Mild delay; follow-up initiated</t>
        </is>
      </c>
    </row>
    <row r="17">
      <c r="A17" s="3" t="inlineStr">
        <is>
          <t>BFL20250015</t>
        </is>
      </c>
      <c r="B17" s="4" t="inlineStr">
        <is>
          <t>Rohit Bhatt</t>
        </is>
      </c>
      <c r="C17" s="4" t="inlineStr">
        <is>
          <t>Personal Loan</t>
        </is>
      </c>
      <c r="D17" s="5" t="n">
        <v>45083</v>
      </c>
      <c r="E17" s="6" t="n">
        <v>500000</v>
      </c>
      <c r="F17" s="6" t="n">
        <v>0</v>
      </c>
      <c r="G17" s="3" t="n">
        <v>24</v>
      </c>
      <c r="H17" s="6" t="n">
        <v>24006</v>
      </c>
      <c r="I17" s="12" t="inlineStr">
        <is>
          <t>91-180 DPD</t>
        </is>
      </c>
      <c r="J17" s="3" t="inlineStr">
        <is>
          <t>Doubtful</t>
        </is>
      </c>
      <c r="K17" s="8" t="n">
        <v>0.4</v>
      </c>
      <c r="L17" s="6" t="n">
        <v>0</v>
      </c>
      <c r="M17" s="12" t="inlineStr">
        <is>
          <t>C</t>
        </is>
      </c>
      <c r="N17" s="4" t="inlineStr">
        <is>
          <t>NPA classification; provisioning raised</t>
        </is>
      </c>
    </row>
    <row r="18">
      <c r="A18" s="3" t="inlineStr">
        <is>
          <t>BFL20250016</t>
        </is>
      </c>
      <c r="B18" s="4" t="inlineStr">
        <is>
          <t>Meena Iyer</t>
        </is>
      </c>
      <c r="C18" s="4" t="inlineStr">
        <is>
          <t>Gold Loan</t>
        </is>
      </c>
      <c r="D18" s="5" t="n">
        <v>45234</v>
      </c>
      <c r="E18" s="6" t="n">
        <v>800000</v>
      </c>
      <c r="F18" s="6" t="n">
        <v>459675</v>
      </c>
      <c r="G18" s="3" t="n">
        <v>48</v>
      </c>
      <c r="H18" s="6" t="n">
        <v>21861</v>
      </c>
      <c r="I18" s="9" t="inlineStr">
        <is>
          <t>1-30 DPD</t>
        </is>
      </c>
      <c r="J18" s="3" t="inlineStr">
        <is>
          <t>Special Mention</t>
        </is>
      </c>
      <c r="K18" s="8" t="n">
        <v>0.05</v>
      </c>
      <c r="L18" s="6" t="n">
        <v>22984</v>
      </c>
      <c r="M18" s="11" t="inlineStr">
        <is>
          <t>A</t>
        </is>
      </c>
      <c r="N18" s="4" t="inlineStr">
        <is>
          <t>Mild delay; follow-up initiated</t>
        </is>
      </c>
    </row>
    <row r="19">
      <c r="A19" s="3" t="inlineStr">
        <is>
          <t>BFL20250017</t>
        </is>
      </c>
      <c r="B19" s="4" t="inlineStr">
        <is>
          <t>Ajay Pandey</t>
        </is>
      </c>
      <c r="C19" s="4" t="inlineStr">
        <is>
          <t>Gold Loan</t>
        </is>
      </c>
      <c r="D19" s="5" t="n">
        <v>45242</v>
      </c>
      <c r="E19" s="6" t="n">
        <v>750000</v>
      </c>
      <c r="F19" s="6" t="n">
        <v>0</v>
      </c>
      <c r="G19" s="3" t="n">
        <v>12</v>
      </c>
      <c r="H19" s="6" t="n">
        <v>67340</v>
      </c>
      <c r="I19" s="12" t="inlineStr">
        <is>
          <t>91-180 DPD</t>
        </is>
      </c>
      <c r="J19" s="3" t="inlineStr">
        <is>
          <t>Doubtful</t>
        </is>
      </c>
      <c r="K19" s="8" t="n">
        <v>0.4</v>
      </c>
      <c r="L19" s="6" t="n">
        <v>0</v>
      </c>
      <c r="M19" s="12" t="inlineStr">
        <is>
          <t>C</t>
        </is>
      </c>
      <c r="N19" s="4" t="inlineStr">
        <is>
          <t>NPA classification; provisioning raised</t>
        </is>
      </c>
    </row>
    <row r="20">
      <c r="A20" s="3" t="inlineStr">
        <is>
          <t>BFL20250018</t>
        </is>
      </c>
      <c r="B20" s="4" t="inlineStr">
        <is>
          <t>Swati Chauhan</t>
        </is>
      </c>
      <c r="C20" s="4" t="inlineStr">
        <is>
          <t>Gold Loan</t>
        </is>
      </c>
      <c r="D20" s="5" t="n">
        <v>45284</v>
      </c>
      <c r="E20" s="6" t="n">
        <v>750000</v>
      </c>
      <c r="F20" s="6" t="n">
        <v>214555</v>
      </c>
      <c r="G20" s="3" t="n">
        <v>24</v>
      </c>
      <c r="H20" s="6" t="n">
        <v>36010</v>
      </c>
      <c r="I20" s="10" t="inlineStr">
        <is>
          <t>61-90 DPD</t>
        </is>
      </c>
      <c r="J20" s="3" t="inlineStr">
        <is>
          <t>Sub-Standard</t>
        </is>
      </c>
      <c r="K20" s="8" t="n">
        <v>0.25</v>
      </c>
      <c r="L20" s="6" t="n">
        <v>53639</v>
      </c>
      <c r="M20" s="9" t="inlineStr">
        <is>
          <t>B</t>
        </is>
      </c>
      <c r="N20" s="4" t="inlineStr">
        <is>
          <t>Hard collection; legal notice likely</t>
        </is>
      </c>
    </row>
    <row r="21">
      <c r="A21" s="3" t="inlineStr">
        <is>
          <t>BFL20250019</t>
        </is>
      </c>
      <c r="B21" s="4" t="inlineStr">
        <is>
          <t>Nikhil Shah</t>
        </is>
      </c>
      <c r="C21" s="4" t="inlineStr">
        <is>
          <t>Gold Loan</t>
        </is>
      </c>
      <c r="D21" s="5" t="n">
        <v>45224</v>
      </c>
      <c r="E21" s="6" t="n">
        <v>1000000</v>
      </c>
      <c r="F21" s="6" t="n">
        <v>205387</v>
      </c>
      <c r="G21" s="3" t="n">
        <v>24</v>
      </c>
      <c r="H21" s="6" t="n">
        <v>48013</v>
      </c>
      <c r="I21" s="11" t="inlineStr">
        <is>
          <t>0 DPD</t>
        </is>
      </c>
      <c r="J21" s="3" t="inlineStr">
        <is>
          <t>Standard</t>
        </is>
      </c>
      <c r="K21" s="8" t="n">
        <v>0.005</v>
      </c>
      <c r="L21" s="6" t="n">
        <v>1027</v>
      </c>
      <c r="M21" s="11" t="inlineStr">
        <is>
          <t>A+</t>
        </is>
      </c>
      <c r="N21" s="4" t="inlineStr">
        <is>
          <t>Regular repayment track record</t>
        </is>
      </c>
    </row>
    <row r="22">
      <c r="A22" s="3" t="inlineStr">
        <is>
          <t>BFL20250020</t>
        </is>
      </c>
      <c r="B22" s="4" t="inlineStr">
        <is>
          <t>Divya Saxena</t>
        </is>
      </c>
      <c r="C22" s="4" t="inlineStr">
        <is>
          <t>Personal Loan</t>
        </is>
      </c>
      <c r="D22" s="5" t="n">
        <v>45029</v>
      </c>
      <c r="E22" s="6" t="n">
        <v>150000</v>
      </c>
      <c r="F22" s="6" t="n">
        <v>0</v>
      </c>
      <c r="G22" s="3" t="n">
        <v>24</v>
      </c>
      <c r="H22" s="6" t="n">
        <v>7202</v>
      </c>
      <c r="I22" s="13" t="inlineStr">
        <is>
          <t>180+ DPD</t>
        </is>
      </c>
      <c r="J22" s="3" t="inlineStr">
        <is>
          <t>Loss</t>
        </is>
      </c>
      <c r="K22" s="8" t="n">
        <v>0.7</v>
      </c>
      <c r="L22" s="6" t="n">
        <v>0</v>
      </c>
      <c r="M22" s="14" t="inlineStr">
        <is>
          <t>D</t>
        </is>
      </c>
      <c r="N22" s="4" t="inlineStr">
        <is>
          <t>Write-off candidate; legal action initiated</t>
        </is>
      </c>
    </row>
    <row r="23">
      <c r="A23" s="3" t="inlineStr">
        <is>
          <t>BFL20250021</t>
        </is>
      </c>
      <c r="B23" s="4" t="inlineStr">
        <is>
          <t>Ravi Malhotra</t>
        </is>
      </c>
      <c r="C23" s="4" t="inlineStr">
        <is>
          <t>Loan Against Property</t>
        </is>
      </c>
      <c r="D23" s="5" t="n">
        <v>44996</v>
      </c>
      <c r="E23" s="6" t="n">
        <v>750000</v>
      </c>
      <c r="F23" s="6" t="n">
        <v>366700</v>
      </c>
      <c r="G23" s="3" t="n">
        <v>60</v>
      </c>
      <c r="H23" s="6" t="n">
        <v>17451</v>
      </c>
      <c r="I23" s="11" t="inlineStr">
        <is>
          <t>0 DPD</t>
        </is>
      </c>
      <c r="J23" s="3" t="inlineStr">
        <is>
          <t>Standard</t>
        </is>
      </c>
      <c r="K23" s="8" t="n">
        <v>0.005</v>
      </c>
      <c r="L23" s="6" t="n">
        <v>1834</v>
      </c>
      <c r="M23" s="11" t="inlineStr">
        <is>
          <t>A+</t>
        </is>
      </c>
      <c r="N23" s="4" t="inlineStr">
        <is>
          <t>Regular repayment track record</t>
        </is>
      </c>
    </row>
    <row r="24">
      <c r="A24" s="3" t="inlineStr">
        <is>
          <t>BFL20250022</t>
        </is>
      </c>
      <c r="B24" s="4" t="inlineStr">
        <is>
          <t>Leela Krishnan</t>
        </is>
      </c>
      <c r="C24" s="4" t="inlineStr">
        <is>
          <t>Two-Wheeler Loan</t>
        </is>
      </c>
      <c r="D24" s="5" t="n">
        <v>45141</v>
      </c>
      <c r="E24" s="6" t="n">
        <v>1500000</v>
      </c>
      <c r="F24" s="6" t="n">
        <v>806448</v>
      </c>
      <c r="G24" s="3" t="n">
        <v>48</v>
      </c>
      <c r="H24" s="6" t="n">
        <v>40990</v>
      </c>
      <c r="I24" s="11" t="inlineStr">
        <is>
          <t>0 DPD</t>
        </is>
      </c>
      <c r="J24" s="3" t="inlineStr">
        <is>
          <t>Standard</t>
        </is>
      </c>
      <c r="K24" s="8" t="n">
        <v>0.005</v>
      </c>
      <c r="L24" s="6" t="n">
        <v>4032</v>
      </c>
      <c r="M24" s="11" t="inlineStr">
        <is>
          <t>A+</t>
        </is>
      </c>
      <c r="N24" s="4" t="inlineStr">
        <is>
          <t>Regular repayment track record</t>
        </is>
      </c>
    </row>
    <row r="25">
      <c r="A25" s="3" t="inlineStr">
        <is>
          <t>BFL20250023</t>
        </is>
      </c>
      <c r="B25" s="4" t="inlineStr">
        <is>
          <t>Ashok Rao</t>
        </is>
      </c>
      <c r="C25" s="4" t="inlineStr">
        <is>
          <t>Business Loan</t>
        </is>
      </c>
      <c r="D25" s="5" t="n">
        <v>45239</v>
      </c>
      <c r="E25" s="6" t="n">
        <v>2000000</v>
      </c>
      <c r="F25" s="6" t="n">
        <v>880212</v>
      </c>
      <c r="G25" s="3" t="n">
        <v>36</v>
      </c>
      <c r="H25" s="6" t="n">
        <v>68355</v>
      </c>
      <c r="I25" s="10" t="inlineStr">
        <is>
          <t>61-90 DPD</t>
        </is>
      </c>
      <c r="J25" s="3" t="inlineStr">
        <is>
          <t>Sub-Standard</t>
        </is>
      </c>
      <c r="K25" s="8" t="n">
        <v>0.25</v>
      </c>
      <c r="L25" s="6" t="n">
        <v>220053</v>
      </c>
      <c r="M25" s="9" t="inlineStr">
        <is>
          <t>B</t>
        </is>
      </c>
      <c r="N25" s="4" t="inlineStr">
        <is>
          <t>Hard collection; legal notice likely</t>
        </is>
      </c>
    </row>
    <row r="26">
      <c r="A26" s="3" t="inlineStr">
        <is>
          <t>BFL20250024</t>
        </is>
      </c>
      <c r="B26" s="4" t="inlineStr">
        <is>
          <t>Geeta Pillai</t>
        </is>
      </c>
      <c r="C26" s="4" t="inlineStr">
        <is>
          <t>Gold Loan</t>
        </is>
      </c>
      <c r="D26" s="5" t="n">
        <v>45111</v>
      </c>
      <c r="E26" s="6" t="n">
        <v>500000</v>
      </c>
      <c r="F26" s="6" t="n">
        <v>289776</v>
      </c>
      <c r="G26" s="3" t="n">
        <v>60</v>
      </c>
      <c r="H26" s="6" t="n">
        <v>11634</v>
      </c>
      <c r="I26" s="12" t="inlineStr">
        <is>
          <t>91-180 DPD</t>
        </is>
      </c>
      <c r="J26" s="3" t="inlineStr">
        <is>
          <t>Doubtful</t>
        </is>
      </c>
      <c r="K26" s="8" t="n">
        <v>0.4</v>
      </c>
      <c r="L26" s="6" t="n">
        <v>115910</v>
      </c>
      <c r="M26" s="12" t="inlineStr">
        <is>
          <t>C</t>
        </is>
      </c>
      <c r="N26" s="4" t="inlineStr">
        <is>
          <t>NPA classification; provisioning raised</t>
        </is>
      </c>
    </row>
    <row r="27">
      <c r="A27" s="3" t="inlineStr">
        <is>
          <t>BFL20250025</t>
        </is>
      </c>
      <c r="B27" s="4" t="inlineStr">
        <is>
          <t>Vinod Kumar</t>
        </is>
      </c>
      <c r="C27" s="4" t="inlineStr">
        <is>
          <t>Loan Against Property</t>
        </is>
      </c>
      <c r="D27" s="5" t="n">
        <v>45185</v>
      </c>
      <c r="E27" s="6" t="n">
        <v>1000000</v>
      </c>
      <c r="F27" s="6" t="n">
        <v>0</v>
      </c>
      <c r="G27" s="3" t="n">
        <v>12</v>
      </c>
      <c r="H27" s="6" t="n">
        <v>89787</v>
      </c>
      <c r="I27" s="13" t="inlineStr">
        <is>
          <t>180+ DPD</t>
        </is>
      </c>
      <c r="J27" s="3" t="inlineStr">
        <is>
          <t>Loss</t>
        </is>
      </c>
      <c r="K27" s="8" t="n">
        <v>0.7</v>
      </c>
      <c r="L27" s="6" t="n">
        <v>0</v>
      </c>
      <c r="M27" s="14" t="inlineStr">
        <is>
          <t>D</t>
        </is>
      </c>
      <c r="N27" s="4" t="inlineStr">
        <is>
          <t>Write-off candidate; legal action initiated</t>
        </is>
      </c>
    </row>
    <row r="28">
      <c r="A28" s="3" t="inlineStr">
        <is>
          <t>BFL20250026</t>
        </is>
      </c>
      <c r="B28" s="4" t="inlineStr">
        <is>
          <t>Shobha Nair</t>
        </is>
      </c>
      <c r="C28" s="4" t="inlineStr">
        <is>
          <t>Personal Loan</t>
        </is>
      </c>
      <c r="D28" s="5" t="n">
        <v>45224</v>
      </c>
      <c r="E28" s="6" t="n">
        <v>250000</v>
      </c>
      <c r="F28" s="6" t="n">
        <v>111413</v>
      </c>
      <c r="G28" s="3" t="n">
        <v>36</v>
      </c>
      <c r="H28" s="6" t="n">
        <v>8544</v>
      </c>
      <c r="I28" s="12" t="inlineStr">
        <is>
          <t>91-180 DPD</t>
        </is>
      </c>
      <c r="J28" s="3" t="inlineStr">
        <is>
          <t>Doubtful</t>
        </is>
      </c>
      <c r="K28" s="8" t="n">
        <v>0.4</v>
      </c>
      <c r="L28" s="6" t="n">
        <v>44565</v>
      </c>
      <c r="M28" s="12" t="inlineStr">
        <is>
          <t>C</t>
        </is>
      </c>
      <c r="N28" s="4" t="inlineStr">
        <is>
          <t>NPA classification; provisioning raised</t>
        </is>
      </c>
    </row>
    <row r="29">
      <c r="A29" s="3" t="inlineStr">
        <is>
          <t>BFL20250027</t>
        </is>
      </c>
      <c r="B29" s="4" t="inlineStr">
        <is>
          <t>Praveen Shetty</t>
        </is>
      </c>
      <c r="C29" s="4" t="inlineStr">
        <is>
          <t>Consumer Durable</t>
        </is>
      </c>
      <c r="D29" s="5" t="n">
        <v>45262</v>
      </c>
      <c r="E29" s="6" t="n">
        <v>3000000</v>
      </c>
      <c r="F29" s="6" t="n">
        <v>0</v>
      </c>
      <c r="G29" s="3" t="n">
        <v>12</v>
      </c>
      <c r="H29" s="6" t="n">
        <v>269361</v>
      </c>
      <c r="I29" s="10" t="inlineStr">
        <is>
          <t>61-90 DPD</t>
        </is>
      </c>
      <c r="J29" s="3" t="inlineStr">
        <is>
          <t>Sub-Standard</t>
        </is>
      </c>
      <c r="K29" s="8" t="n">
        <v>0.25</v>
      </c>
      <c r="L29" s="6" t="n">
        <v>0</v>
      </c>
      <c r="M29" s="9" t="inlineStr">
        <is>
          <t>B</t>
        </is>
      </c>
      <c r="N29" s="4" t="inlineStr">
        <is>
          <t>Hard collection; legal notice likely</t>
        </is>
      </c>
    </row>
    <row r="30">
      <c r="A30" s="3" t="inlineStr">
        <is>
          <t>BFL20250028</t>
        </is>
      </c>
      <c r="B30" s="4" t="inlineStr">
        <is>
          <t>Manju Reddy</t>
        </is>
      </c>
      <c r="C30" s="4" t="inlineStr">
        <is>
          <t>Personal Loan</t>
        </is>
      </c>
      <c r="D30" s="5" t="n">
        <v>44980</v>
      </c>
      <c r="E30" s="6" t="n">
        <v>2000000</v>
      </c>
      <c r="F30" s="6" t="n">
        <v>1065547</v>
      </c>
      <c r="G30" s="3" t="n">
        <v>60</v>
      </c>
      <c r="H30" s="6" t="n">
        <v>46537</v>
      </c>
      <c r="I30" s="7" t="inlineStr">
        <is>
          <t>31-60 DPD</t>
        </is>
      </c>
      <c r="J30" s="3" t="inlineStr">
        <is>
          <t>Special Mention</t>
        </is>
      </c>
      <c r="K30" s="8" t="n">
        <v>0.15</v>
      </c>
      <c r="L30" s="6" t="n">
        <v>159832</v>
      </c>
      <c r="M30" s="9" t="inlineStr">
        <is>
          <t>B+</t>
        </is>
      </c>
      <c r="N30" s="4" t="inlineStr">
        <is>
          <t>Payment delay; soft collection triggered</t>
        </is>
      </c>
    </row>
    <row r="32">
      <c r="A32" s="15" t="inlineStr">
        <is>
          <t>PORTFOLIO SUMMARY</t>
        </is>
      </c>
    </row>
    <row r="33">
      <c r="A33" s="16" t="inlineStr">
        <is>
          <t>Total Loans</t>
        </is>
      </c>
      <c r="B33" s="17">
        <f>COUNTA(A3:A30)</f>
        <v/>
      </c>
    </row>
    <row r="34">
      <c r="A34" s="16" t="inlineStr">
        <is>
          <t>Total Disbursed (₹)</t>
        </is>
      </c>
      <c r="B34" s="18">
        <f>SUM(E3:E30)</f>
        <v/>
      </c>
    </row>
    <row r="35">
      <c r="A35" s="16" t="inlineStr">
        <is>
          <t>Total Outstanding (₹)</t>
        </is>
      </c>
      <c r="B35" s="18">
        <f>SUM(F3:F30)</f>
        <v/>
      </c>
    </row>
    <row r="36">
      <c r="A36" s="16" t="inlineStr">
        <is>
          <t>Total Provision (₹)</t>
        </is>
      </c>
      <c r="B36" s="18">
        <f>SUM(L3:L30)</f>
        <v/>
      </c>
    </row>
    <row r="37">
      <c r="A37" s="16" t="inlineStr">
        <is>
          <t>NPA Accounts (&gt;90 DPD)</t>
        </is>
      </c>
      <c r="B37" s="17">
        <f>COUNTIF(I3:I30,"91-180 DPD")+COUNTIF(I3:I30,"180+ DPD")</f>
        <v/>
      </c>
    </row>
    <row r="38">
      <c r="A38" s="16" t="inlineStr">
        <is>
          <t>Gross NPA %</t>
        </is>
      </c>
      <c r="B38" s="19">
        <f>SUMIF(I3:I30,"91-180 DPD",F3:F30)+SUMIF(I3:I30,"180+ DPD",F3:F30)</f>
        <v/>
      </c>
    </row>
  </sheetData>
  <mergeCells count="2">
    <mergeCell ref="A32:B3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3" customWidth="1" min="4" max="4"/>
    <col width="20" customWidth="1" min="5" max="5"/>
    <col width="16" customWidth="1" min="6" max="6"/>
    <col width="22" customWidth="1" min="7" max="7"/>
    <col width="18" customWidth="1" min="8" max="8"/>
    <col width="16" customWidth="1" min="9" max="9"/>
    <col width="18" customWidth="1" min="10" max="10"/>
    <col width="14" customWidth="1" min="11" max="11"/>
    <col width="22" customWidth="1" min="12" max="12"/>
  </cols>
  <sheetData>
    <row r="1" ht="28" customHeight="1">
      <c r="A1" s="20" t="inlineStr">
        <is>
          <t>TRANSACTION MONITORING — FRAUD PATTERN IDENTIFICATION (June 2025)</t>
        </is>
      </c>
    </row>
    <row r="2" ht="38" customHeight="1">
      <c r="A2" s="21" t="inlineStr">
        <is>
          <t>Transaction ID</t>
        </is>
      </c>
      <c r="B2" s="21" t="inlineStr">
        <is>
          <t>Account No.</t>
        </is>
      </c>
      <c r="C2" s="21" t="inlineStr">
        <is>
          <t>Customer Name</t>
        </is>
      </c>
      <c r="D2" s="21" t="inlineStr">
        <is>
          <t>Transaction Date</t>
        </is>
      </c>
      <c r="E2" s="21" t="inlineStr">
        <is>
          <t>Transaction Type</t>
        </is>
      </c>
      <c r="F2" s="21" t="inlineStr">
        <is>
          <t>Amount (₹)</t>
        </is>
      </c>
      <c r="G2" s="21" t="inlineStr">
        <is>
          <t>Merchant/Beneficiary</t>
        </is>
      </c>
      <c r="H2" s="21" t="inlineStr">
        <is>
          <t>Channel</t>
        </is>
      </c>
      <c r="I2" s="21" t="inlineStr">
        <is>
          <t>Location</t>
        </is>
      </c>
      <c r="J2" s="21" t="inlineStr">
        <is>
          <t>Velocity Flag</t>
        </is>
      </c>
      <c r="K2" s="21" t="inlineStr">
        <is>
          <t>Anomaly Score</t>
        </is>
      </c>
      <c r="L2" s="21" t="inlineStr">
        <is>
          <t>Investigation Status</t>
        </is>
      </c>
    </row>
    <row r="3">
      <c r="A3" s="3" t="inlineStr">
        <is>
          <t>TXN250600001</t>
        </is>
      </c>
      <c r="B3" s="3" t="inlineStr">
        <is>
          <t>BFL90504199</t>
        </is>
      </c>
      <c r="C3" s="4" t="inlineStr">
        <is>
          <t>Kavita Nair</t>
        </is>
      </c>
      <c r="D3" s="5" t="n">
        <v>45820</v>
      </c>
      <c r="E3" s="3" t="inlineStr">
        <is>
          <t>POS Transaction</t>
        </is>
      </c>
      <c r="F3" s="6" t="n">
        <v>50001</v>
      </c>
      <c r="G3" s="4" t="inlineStr">
        <is>
          <t>Jewellery Shop</t>
        </is>
      </c>
      <c r="H3" s="3" t="inlineStr">
        <is>
          <t>Mobile App</t>
        </is>
      </c>
      <c r="I3" s="3" t="inlineStr">
        <is>
          <t>Pune</t>
        </is>
      </c>
      <c r="J3" s="3" t="inlineStr">
        <is>
          <t>No Flag</t>
        </is>
      </c>
      <c r="K3" s="22" t="n">
        <v>0.67</v>
      </c>
      <c r="L3" s="23" t="inlineStr">
        <is>
          <t>Under Investigation</t>
        </is>
      </c>
    </row>
    <row r="4">
      <c r="A4" s="3" t="inlineStr">
        <is>
          <t>TXN250600002</t>
        </is>
      </c>
      <c r="B4" s="3" t="inlineStr">
        <is>
          <t>BFL29480685</t>
        </is>
      </c>
      <c r="C4" s="4" t="inlineStr">
        <is>
          <t>Ajay Pandey</t>
        </is>
      </c>
      <c r="D4" s="5" t="n">
        <v>45809</v>
      </c>
      <c r="E4" s="3" t="inlineStr">
        <is>
          <t>Cash Deposit</t>
        </is>
      </c>
      <c r="F4" s="6" t="n">
        <v>75000</v>
      </c>
      <c r="G4" s="4" t="inlineStr">
        <is>
          <t>Amazon India</t>
        </is>
      </c>
      <c r="H4" s="3" t="inlineStr">
        <is>
          <t>Branch</t>
        </is>
      </c>
      <c r="I4" s="24" t="inlineStr">
        <is>
          <t>Foreign IP</t>
        </is>
      </c>
      <c r="J4" s="23" t="inlineStr">
        <is>
          <t>Multiple Attempts</t>
        </is>
      </c>
      <c r="K4" s="25" t="n">
        <v>0.84</v>
      </c>
      <c r="L4" s="23" t="inlineStr">
        <is>
          <t>Under Investigation</t>
        </is>
      </c>
    </row>
    <row r="5">
      <c r="A5" s="3" t="inlineStr">
        <is>
          <t>TXN250600003</t>
        </is>
      </c>
      <c r="B5" s="3" t="inlineStr">
        <is>
          <t>BFL95433132</t>
        </is>
      </c>
      <c r="C5" s="4" t="inlineStr">
        <is>
          <t>Suresh Patil</t>
        </is>
      </c>
      <c r="D5" s="5" t="n">
        <v>45820</v>
      </c>
      <c r="E5" s="3" t="inlineStr">
        <is>
          <t>Cash Deposit</t>
        </is>
      </c>
      <c r="F5" s="6" t="n">
        <v>200000</v>
      </c>
      <c r="G5" s="4" t="inlineStr">
        <is>
          <t>Jewellery Shop</t>
        </is>
      </c>
      <c r="H5" s="3" t="inlineStr">
        <is>
          <t>UPI</t>
        </is>
      </c>
      <c r="I5" s="3" t="inlineStr">
        <is>
          <t>Hyderabad</t>
        </is>
      </c>
      <c r="J5" s="23" t="inlineStr">
        <is>
          <t>Multiple Attempts</t>
        </is>
      </c>
      <c r="K5" s="26" t="n">
        <v>0.3</v>
      </c>
      <c r="L5" s="27" t="inlineStr">
        <is>
          <t>Closed - False Positive</t>
        </is>
      </c>
    </row>
    <row r="6">
      <c r="A6" s="3" t="inlineStr">
        <is>
          <t>TXN250600004</t>
        </is>
      </c>
      <c r="B6" s="3" t="inlineStr">
        <is>
          <t>BFL73134744</t>
        </is>
      </c>
      <c r="C6" s="4" t="inlineStr">
        <is>
          <t>Suresh Patil</t>
        </is>
      </c>
      <c r="D6" s="5" t="n">
        <v>45819</v>
      </c>
      <c r="E6" s="3" t="inlineStr">
        <is>
          <t>UPI Transfer</t>
        </is>
      </c>
      <c r="F6" s="6" t="n">
        <v>200000</v>
      </c>
      <c r="G6" s="4" t="inlineStr">
        <is>
          <t>Swiggy</t>
        </is>
      </c>
      <c r="H6" s="3" t="inlineStr">
        <is>
          <t>Internet Banking</t>
        </is>
      </c>
      <c r="I6" s="3" t="inlineStr">
        <is>
          <t>Pune</t>
        </is>
      </c>
      <c r="J6" s="3" t="inlineStr">
        <is>
          <t>No Flag</t>
        </is>
      </c>
      <c r="K6" s="26" t="n">
        <v>0.18</v>
      </c>
      <c r="L6" s="27" t="inlineStr">
        <is>
          <t>Closed - False Positive</t>
        </is>
      </c>
    </row>
    <row r="7">
      <c r="A7" s="3" t="inlineStr">
        <is>
          <t>TXN250600005</t>
        </is>
      </c>
      <c r="B7" s="3" t="inlineStr">
        <is>
          <t>BFL63931977</t>
        </is>
      </c>
      <c r="C7" s="4" t="inlineStr">
        <is>
          <t>Vinod Kumar</t>
        </is>
      </c>
      <c r="D7" s="5" t="n">
        <v>45818</v>
      </c>
      <c r="E7" s="3" t="inlineStr">
        <is>
          <t>ATM Withdrawal</t>
        </is>
      </c>
      <c r="F7" s="6" t="n">
        <v>2500</v>
      </c>
      <c r="G7" s="4" t="inlineStr">
        <is>
          <t>Swiggy</t>
        </is>
      </c>
      <c r="H7" s="3" t="inlineStr">
        <is>
          <t>Branch</t>
        </is>
      </c>
      <c r="I7" s="24" t="inlineStr">
        <is>
          <t>Foreign IP</t>
        </is>
      </c>
      <c r="J7" s="3" t="inlineStr">
        <is>
          <t>No Flag</t>
        </is>
      </c>
      <c r="K7" s="22" t="n">
        <v>0.68</v>
      </c>
      <c r="L7" s="23" t="inlineStr">
        <is>
          <t>Under Investigation</t>
        </is>
      </c>
    </row>
    <row r="8">
      <c r="A8" s="3" t="inlineStr">
        <is>
          <t>TXN250600006</t>
        </is>
      </c>
      <c r="B8" s="3" t="inlineStr">
        <is>
          <t>BFL56668489</t>
        </is>
      </c>
      <c r="C8" s="4" t="inlineStr">
        <is>
          <t>Deepak Joshi</t>
        </is>
      </c>
      <c r="D8" s="5" t="n">
        <v>45820</v>
      </c>
      <c r="E8" s="3" t="inlineStr">
        <is>
          <t>POS Transaction</t>
        </is>
      </c>
      <c r="F8" s="6" t="n">
        <v>2500</v>
      </c>
      <c r="G8" s="4" t="inlineStr">
        <is>
          <t>Swiggy</t>
        </is>
      </c>
      <c r="H8" s="3" t="inlineStr">
        <is>
          <t>POS Terminal</t>
        </is>
      </c>
      <c r="I8" s="24" t="inlineStr">
        <is>
          <t>Foreign IP</t>
        </is>
      </c>
      <c r="J8" s="3" t="inlineStr">
        <is>
          <t>No Flag</t>
        </is>
      </c>
      <c r="K8" s="26" t="n">
        <v>0.15</v>
      </c>
      <c r="L8" s="27" t="inlineStr">
        <is>
          <t>Closed - False Positive</t>
        </is>
      </c>
    </row>
    <row r="9">
      <c r="A9" s="3" t="inlineStr">
        <is>
          <t>TXN250600007</t>
        </is>
      </c>
      <c r="B9" s="3" t="inlineStr">
        <is>
          <t>BFL96215869</t>
        </is>
      </c>
      <c r="C9" s="4" t="inlineStr">
        <is>
          <t>Priya Mehta</t>
        </is>
      </c>
      <c r="D9" s="5" t="n">
        <v>45828</v>
      </c>
      <c r="E9" s="3" t="inlineStr">
        <is>
          <t>Cheque Deposit</t>
        </is>
      </c>
      <c r="F9" s="6" t="n">
        <v>75000</v>
      </c>
      <c r="G9" s="4" t="inlineStr">
        <is>
          <t>Medical Store</t>
        </is>
      </c>
      <c r="H9" s="3" t="inlineStr">
        <is>
          <t>ATM</t>
        </is>
      </c>
      <c r="I9" s="3" t="inlineStr">
        <is>
          <t>Delhi</t>
        </is>
      </c>
      <c r="J9" s="23" t="inlineStr">
        <is>
          <t>Geo Mismatch</t>
        </is>
      </c>
      <c r="K9" s="26" t="n">
        <v>0.49</v>
      </c>
      <c r="L9" s="27" t="inlineStr">
        <is>
          <t>Closed - Genuine</t>
        </is>
      </c>
    </row>
    <row r="10">
      <c r="A10" s="3" t="inlineStr">
        <is>
          <t>TXN250600008</t>
        </is>
      </c>
      <c r="B10" s="3" t="inlineStr">
        <is>
          <t>BFL49237833</t>
        </is>
      </c>
      <c r="C10" s="4" t="inlineStr">
        <is>
          <t>Amit Gupta</t>
        </is>
      </c>
      <c r="D10" s="5" t="n">
        <v>45817</v>
      </c>
      <c r="E10" s="3" t="inlineStr">
        <is>
          <t>Cash Deposit</t>
        </is>
      </c>
      <c r="F10" s="6" t="n">
        <v>5000</v>
      </c>
      <c r="G10" s="4" t="inlineStr">
        <is>
          <t>Flipkart</t>
        </is>
      </c>
      <c r="H10" s="3" t="inlineStr">
        <is>
          <t>UPI</t>
        </is>
      </c>
      <c r="I10" s="3" t="inlineStr">
        <is>
          <t>Delhi</t>
        </is>
      </c>
      <c r="J10" s="23" t="inlineStr">
        <is>
          <t>Multiple Attempts</t>
        </is>
      </c>
      <c r="K10" s="26" t="n">
        <v>0.39</v>
      </c>
      <c r="L10" s="27" t="inlineStr">
        <is>
          <t>Closed - False Positive</t>
        </is>
      </c>
    </row>
    <row r="11">
      <c r="A11" s="3" t="inlineStr">
        <is>
          <t>TXN250600009</t>
        </is>
      </c>
      <c r="B11" s="3" t="inlineStr">
        <is>
          <t>BFL66412864</t>
        </is>
      </c>
      <c r="C11" s="4" t="inlineStr">
        <is>
          <t>Vikram Singh</t>
        </is>
      </c>
      <c r="D11" s="5" t="n">
        <v>45828</v>
      </c>
      <c r="E11" s="3" t="inlineStr">
        <is>
          <t>ATM Withdrawal</t>
        </is>
      </c>
      <c r="F11" s="6" t="n">
        <v>5000</v>
      </c>
      <c r="G11" s="4" t="inlineStr">
        <is>
          <t>Unknown Merchant</t>
        </is>
      </c>
      <c r="H11" s="3" t="inlineStr">
        <is>
          <t>Internet Banking</t>
        </is>
      </c>
      <c r="I11" s="24" t="inlineStr">
        <is>
          <t>Unknown</t>
        </is>
      </c>
      <c r="J11" s="3" t="inlineStr">
        <is>
          <t>No Flag</t>
        </is>
      </c>
      <c r="K11" s="25" t="n">
        <v>0.78</v>
      </c>
      <c r="L11" s="28" t="inlineStr">
        <is>
          <t>Confirmed Fraud</t>
        </is>
      </c>
    </row>
    <row r="12">
      <c r="A12" s="3" t="inlineStr">
        <is>
          <t>TXN250600010</t>
        </is>
      </c>
      <c r="B12" s="3" t="inlineStr">
        <is>
          <t>BFL88349064</t>
        </is>
      </c>
      <c r="C12" s="4" t="inlineStr">
        <is>
          <t>Praveen Shetty</t>
        </is>
      </c>
      <c r="D12" s="5" t="n">
        <v>45813</v>
      </c>
      <c r="E12" s="3" t="inlineStr">
        <is>
          <t>POS Transaction</t>
        </is>
      </c>
      <c r="F12" s="6" t="n">
        <v>2500</v>
      </c>
      <c r="G12" s="4" t="inlineStr">
        <is>
          <t>Amazon India</t>
        </is>
      </c>
      <c r="H12" s="3" t="inlineStr">
        <is>
          <t>UPI</t>
        </is>
      </c>
      <c r="I12" s="3" t="inlineStr">
        <is>
          <t>Mumbai</t>
        </is>
      </c>
      <c r="J12" s="23" t="inlineStr">
        <is>
          <t>High Velocity</t>
        </is>
      </c>
      <c r="K12" s="22" t="n">
        <v>0.64</v>
      </c>
      <c r="L12" s="23" t="inlineStr">
        <is>
          <t>Under Investigation</t>
        </is>
      </c>
    </row>
    <row r="13">
      <c r="A13" s="3" t="inlineStr">
        <is>
          <t>TXN250600011</t>
        </is>
      </c>
      <c r="B13" s="3" t="inlineStr">
        <is>
          <t>BFL58060622</t>
        </is>
      </c>
      <c r="C13" s="4" t="inlineStr">
        <is>
          <t>Suresh Patil</t>
        </is>
      </c>
      <c r="D13" s="5" t="n">
        <v>45816</v>
      </c>
      <c r="E13" s="3" t="inlineStr">
        <is>
          <t>POS Transaction</t>
        </is>
      </c>
      <c r="F13" s="6" t="n">
        <v>500000</v>
      </c>
      <c r="G13" s="4" t="inlineStr">
        <is>
          <t>ATM-SBI</t>
        </is>
      </c>
      <c r="H13" s="3" t="inlineStr">
        <is>
          <t>Internet Banking</t>
        </is>
      </c>
      <c r="I13" s="3" t="inlineStr">
        <is>
          <t>Mumbai</t>
        </is>
      </c>
      <c r="J13" s="23" t="inlineStr">
        <is>
          <t>Geo Mismatch</t>
        </is>
      </c>
      <c r="K13" s="26" t="n">
        <v>0.23</v>
      </c>
      <c r="L13" s="27" t="inlineStr">
        <is>
          <t>Closed - False Positive</t>
        </is>
      </c>
    </row>
    <row r="14">
      <c r="A14" s="3" t="inlineStr">
        <is>
          <t>TXN250600012</t>
        </is>
      </c>
      <c r="B14" s="3" t="inlineStr">
        <is>
          <t>BFL43876548</t>
        </is>
      </c>
      <c r="C14" s="4" t="inlineStr">
        <is>
          <t>Rajesh Kumar Sharma</t>
        </is>
      </c>
      <c r="D14" s="5" t="n">
        <v>45815</v>
      </c>
      <c r="E14" s="3" t="inlineStr">
        <is>
          <t>Cash Deposit</t>
        </is>
      </c>
      <c r="F14" s="6" t="n">
        <v>15000</v>
      </c>
      <c r="G14" s="4" t="inlineStr">
        <is>
          <t>Unknown Merchant</t>
        </is>
      </c>
      <c r="H14" s="3" t="inlineStr">
        <is>
          <t>UPI</t>
        </is>
      </c>
      <c r="I14" s="3" t="inlineStr">
        <is>
          <t>Pune</t>
        </is>
      </c>
      <c r="J14" s="3" t="inlineStr">
        <is>
          <t>No Flag</t>
        </is>
      </c>
      <c r="K14" s="22" t="n">
        <v>0.59</v>
      </c>
      <c r="L14" s="23" t="inlineStr">
        <is>
          <t>Pending Review</t>
        </is>
      </c>
    </row>
    <row r="15">
      <c r="A15" s="3" t="inlineStr">
        <is>
          <t>TXN250600013</t>
        </is>
      </c>
      <c r="B15" s="3" t="inlineStr">
        <is>
          <t>BFL75216499</t>
        </is>
      </c>
      <c r="C15" s="4" t="inlineStr">
        <is>
          <t>Ravi Malhotra</t>
        </is>
      </c>
      <c r="D15" s="5" t="n">
        <v>45811</v>
      </c>
      <c r="E15" s="3" t="inlineStr">
        <is>
          <t>Cheque Deposit</t>
        </is>
      </c>
      <c r="F15" s="6" t="n">
        <v>50001</v>
      </c>
      <c r="G15" s="4" t="inlineStr">
        <is>
          <t>Medical Store</t>
        </is>
      </c>
      <c r="H15" s="3" t="inlineStr">
        <is>
          <t>POS Terminal</t>
        </is>
      </c>
      <c r="I15" s="24" t="inlineStr">
        <is>
          <t>Foreign IP</t>
        </is>
      </c>
      <c r="J15" s="3" t="inlineStr">
        <is>
          <t>No Flag</t>
        </is>
      </c>
      <c r="K15" s="25" t="n">
        <v>0.88</v>
      </c>
      <c r="L15" s="24" t="inlineStr">
        <is>
          <t>Escalated to Legal</t>
        </is>
      </c>
    </row>
    <row r="16">
      <c r="A16" s="3" t="inlineStr">
        <is>
          <t>TXN250600014</t>
        </is>
      </c>
      <c r="B16" s="3" t="inlineStr">
        <is>
          <t>BFL25074641</t>
        </is>
      </c>
      <c r="C16" s="4" t="inlineStr">
        <is>
          <t>Geeta Pillai</t>
        </is>
      </c>
      <c r="D16" s="5" t="n">
        <v>45823</v>
      </c>
      <c r="E16" s="3" t="inlineStr">
        <is>
          <t>RTGS</t>
        </is>
      </c>
      <c r="F16" s="6" t="n">
        <v>1000000</v>
      </c>
      <c r="G16" s="4" t="inlineStr">
        <is>
          <t>Flipkart</t>
        </is>
      </c>
      <c r="H16" s="3" t="inlineStr">
        <is>
          <t>ATM</t>
        </is>
      </c>
      <c r="I16" s="24" t="inlineStr">
        <is>
          <t>Unknown</t>
        </is>
      </c>
      <c r="J16" s="23" t="inlineStr">
        <is>
          <t>Geo Mismatch</t>
        </is>
      </c>
      <c r="K16" s="25" t="n">
        <v>0.78</v>
      </c>
      <c r="L16" s="23" t="inlineStr">
        <is>
          <t>Under Investigation</t>
        </is>
      </c>
    </row>
    <row r="17">
      <c r="A17" s="3" t="inlineStr">
        <is>
          <t>TXN250600015</t>
        </is>
      </c>
      <c r="B17" s="3" t="inlineStr">
        <is>
          <t>BFL75670850</t>
        </is>
      </c>
      <c r="C17" s="4" t="inlineStr">
        <is>
          <t>Manoj Tiwari</t>
        </is>
      </c>
      <c r="D17" s="5" t="n">
        <v>45827</v>
      </c>
      <c r="E17" s="3" t="inlineStr">
        <is>
          <t>NEFT</t>
        </is>
      </c>
      <c r="F17" s="6" t="n">
        <v>15000</v>
      </c>
      <c r="G17" s="4" t="inlineStr">
        <is>
          <t>Petrol Station</t>
        </is>
      </c>
      <c r="H17" s="3" t="inlineStr">
        <is>
          <t>ATM</t>
        </is>
      </c>
      <c r="I17" s="3" t="inlineStr">
        <is>
          <t>Pune</t>
        </is>
      </c>
      <c r="J17" s="23" t="inlineStr">
        <is>
          <t>Geo Mismatch</t>
        </is>
      </c>
      <c r="K17" s="26" t="n">
        <v>0.26</v>
      </c>
      <c r="L17" s="27" t="inlineStr">
        <is>
          <t>Closed - Genuine</t>
        </is>
      </c>
    </row>
    <row r="18">
      <c r="A18" s="3" t="inlineStr">
        <is>
          <t>TXN250600016</t>
        </is>
      </c>
      <c r="B18" s="3" t="inlineStr">
        <is>
          <t>BFL25579332</t>
        </is>
      </c>
      <c r="C18" s="4" t="inlineStr">
        <is>
          <t>Deepak Joshi</t>
        </is>
      </c>
      <c r="D18" s="5" t="n">
        <v>45812</v>
      </c>
      <c r="E18" s="3" t="inlineStr">
        <is>
          <t>RTGS</t>
        </is>
      </c>
      <c r="F18" s="6" t="n">
        <v>1000000</v>
      </c>
      <c r="G18" s="4" t="inlineStr">
        <is>
          <t>ATM-SBI</t>
        </is>
      </c>
      <c r="H18" s="3" t="inlineStr">
        <is>
          <t>POS Terminal</t>
        </is>
      </c>
      <c r="I18" s="3" t="inlineStr">
        <is>
          <t>Chennai</t>
        </is>
      </c>
      <c r="J18" s="23" t="inlineStr">
        <is>
          <t>Geo Mismatch</t>
        </is>
      </c>
      <c r="K18" s="25" t="n">
        <v>0.98</v>
      </c>
      <c r="L18" s="28" t="inlineStr">
        <is>
          <t>Confirmed Fraud</t>
        </is>
      </c>
    </row>
    <row r="19">
      <c r="A19" s="3" t="inlineStr">
        <is>
          <t>TXN250600017</t>
        </is>
      </c>
      <c r="B19" s="3" t="inlineStr">
        <is>
          <t>BFL21158724</t>
        </is>
      </c>
      <c r="C19" s="4" t="inlineStr">
        <is>
          <t>Deepak Joshi</t>
        </is>
      </c>
      <c r="D19" s="5" t="n">
        <v>45809</v>
      </c>
      <c r="E19" s="3" t="inlineStr">
        <is>
          <t>RTGS</t>
        </is>
      </c>
      <c r="F19" s="6" t="n">
        <v>2500</v>
      </c>
      <c r="G19" s="4" t="inlineStr">
        <is>
          <t>Flipkart</t>
        </is>
      </c>
      <c r="H19" s="3" t="inlineStr">
        <is>
          <t>Branch</t>
        </is>
      </c>
      <c r="I19" s="3" t="inlineStr">
        <is>
          <t>Mumbai</t>
        </is>
      </c>
      <c r="J19" s="3" t="inlineStr">
        <is>
          <t>No Flag</t>
        </is>
      </c>
      <c r="K19" s="26" t="n">
        <v>0.45</v>
      </c>
      <c r="L19" s="27" t="inlineStr">
        <is>
          <t>Closed - False Positive</t>
        </is>
      </c>
    </row>
    <row r="20">
      <c r="A20" s="3" t="inlineStr">
        <is>
          <t>TXN250600018</t>
        </is>
      </c>
      <c r="B20" s="3" t="inlineStr">
        <is>
          <t>BFL81348594</t>
        </is>
      </c>
      <c r="C20" s="4" t="inlineStr">
        <is>
          <t>Priya Mehta</t>
        </is>
      </c>
      <c r="D20" s="5" t="n">
        <v>45820</v>
      </c>
      <c r="E20" s="3" t="inlineStr">
        <is>
          <t>UPI Transfer</t>
        </is>
      </c>
      <c r="F20" s="6" t="n">
        <v>200000</v>
      </c>
      <c r="G20" s="4" t="inlineStr">
        <is>
          <t>Cash Counter</t>
        </is>
      </c>
      <c r="H20" s="3" t="inlineStr">
        <is>
          <t>POS Terminal</t>
        </is>
      </c>
      <c r="I20" s="3" t="inlineStr">
        <is>
          <t>Hyderabad</t>
        </is>
      </c>
      <c r="J20" s="23" t="inlineStr">
        <is>
          <t>Multiple Attempts</t>
        </is>
      </c>
      <c r="K20" s="26" t="n">
        <v>0.15</v>
      </c>
      <c r="L20" s="27" t="inlineStr">
        <is>
          <t>Closed - Genuine</t>
        </is>
      </c>
    </row>
    <row r="21">
      <c r="A21" s="3" t="inlineStr">
        <is>
          <t>TXN250600019</t>
        </is>
      </c>
      <c r="B21" s="3" t="inlineStr">
        <is>
          <t>BFL62381327</t>
        </is>
      </c>
      <c r="C21" s="4" t="inlineStr">
        <is>
          <t>Shobha Nair</t>
        </is>
      </c>
      <c r="D21" s="5" t="n">
        <v>45827</v>
      </c>
      <c r="E21" s="3" t="inlineStr">
        <is>
          <t>NEFT</t>
        </is>
      </c>
      <c r="F21" s="6" t="n">
        <v>49999</v>
      </c>
      <c r="G21" s="4" t="inlineStr">
        <is>
          <t>Jewellery Shop</t>
        </is>
      </c>
      <c r="H21" s="3" t="inlineStr">
        <is>
          <t>Mobile App</t>
        </is>
      </c>
      <c r="I21" s="3" t="inlineStr">
        <is>
          <t>Pune</t>
        </is>
      </c>
      <c r="J21" s="3" t="inlineStr">
        <is>
          <t>No Flag</t>
        </is>
      </c>
      <c r="K21" s="26" t="n">
        <v>0.44</v>
      </c>
      <c r="L21" s="27" t="inlineStr">
        <is>
          <t>Closed - False Positive</t>
        </is>
      </c>
    </row>
    <row r="22">
      <c r="A22" s="3" t="inlineStr">
        <is>
          <t>TXN250600020</t>
        </is>
      </c>
      <c r="B22" s="3" t="inlineStr">
        <is>
          <t>BFL57332407</t>
        </is>
      </c>
      <c r="C22" s="4" t="inlineStr">
        <is>
          <t>Shobha Nair</t>
        </is>
      </c>
      <c r="D22" s="5" t="n">
        <v>45817</v>
      </c>
      <c r="E22" s="3" t="inlineStr">
        <is>
          <t>POS Transaction</t>
        </is>
      </c>
      <c r="F22" s="6" t="n">
        <v>5000</v>
      </c>
      <c r="G22" s="4" t="inlineStr">
        <is>
          <t>Petrol Station</t>
        </is>
      </c>
      <c r="H22" s="3" t="inlineStr">
        <is>
          <t>UPI</t>
        </is>
      </c>
      <c r="I22" s="24" t="inlineStr">
        <is>
          <t>Unknown</t>
        </is>
      </c>
      <c r="J22" s="3" t="inlineStr">
        <is>
          <t>No Flag</t>
        </is>
      </c>
      <c r="K22" s="26" t="n">
        <v>0.28</v>
      </c>
      <c r="L22" s="27" t="inlineStr">
        <is>
          <t>Closed - False Positive</t>
        </is>
      </c>
    </row>
    <row r="23">
      <c r="A23" s="3" t="inlineStr">
        <is>
          <t>TXN250600021</t>
        </is>
      </c>
      <c r="B23" s="3" t="inlineStr">
        <is>
          <t>BFL60850807</t>
        </is>
      </c>
      <c r="C23" s="4" t="inlineStr">
        <is>
          <t>Geeta Pillai</t>
        </is>
      </c>
      <c r="D23" s="5" t="n">
        <v>45814</v>
      </c>
      <c r="E23" s="3" t="inlineStr">
        <is>
          <t>Cheque Deposit</t>
        </is>
      </c>
      <c r="F23" s="6" t="n">
        <v>50001</v>
      </c>
      <c r="G23" s="4" t="inlineStr">
        <is>
          <t>Cash Counter</t>
        </is>
      </c>
      <c r="H23" s="3" t="inlineStr">
        <is>
          <t>UPI</t>
        </is>
      </c>
      <c r="I23" s="24" t="inlineStr">
        <is>
          <t>Unknown</t>
        </is>
      </c>
      <c r="J23" s="3" t="inlineStr">
        <is>
          <t>No Flag</t>
        </is>
      </c>
      <c r="K23" s="26" t="n">
        <v>0.38</v>
      </c>
      <c r="L23" s="27" t="inlineStr">
        <is>
          <t>Closed - False Positive</t>
        </is>
      </c>
    </row>
    <row r="24">
      <c r="A24" s="3" t="inlineStr">
        <is>
          <t>TXN250600022</t>
        </is>
      </c>
      <c r="B24" s="3" t="inlineStr">
        <is>
          <t>BFL65801283</t>
        </is>
      </c>
      <c r="C24" s="4" t="inlineStr">
        <is>
          <t>Ashok Rao</t>
        </is>
      </c>
      <c r="D24" s="5" t="n">
        <v>45809</v>
      </c>
      <c r="E24" s="3" t="inlineStr">
        <is>
          <t>NEFT</t>
        </is>
      </c>
      <c r="F24" s="6" t="n">
        <v>50001</v>
      </c>
      <c r="G24" s="4" t="inlineStr">
        <is>
          <t>Medical Store</t>
        </is>
      </c>
      <c r="H24" s="3" t="inlineStr">
        <is>
          <t>Internet Banking</t>
        </is>
      </c>
      <c r="I24" s="3" t="inlineStr">
        <is>
          <t>Pune</t>
        </is>
      </c>
      <c r="J24" s="3" t="inlineStr">
        <is>
          <t>No Flag</t>
        </is>
      </c>
      <c r="K24" s="25" t="n">
        <v>0.76</v>
      </c>
      <c r="L24" s="23" t="inlineStr">
        <is>
          <t>Under Investigation</t>
        </is>
      </c>
    </row>
    <row r="25">
      <c r="A25" s="3" t="inlineStr">
        <is>
          <t>TXN250600023</t>
        </is>
      </c>
      <c r="B25" s="3" t="inlineStr">
        <is>
          <t>BFL33733884</t>
        </is>
      </c>
      <c r="C25" s="4" t="inlineStr">
        <is>
          <t>Deepak Joshi</t>
        </is>
      </c>
      <c r="D25" s="5" t="n">
        <v>45825</v>
      </c>
      <c r="E25" s="3" t="inlineStr">
        <is>
          <t>UPI Transfer</t>
        </is>
      </c>
      <c r="F25" s="6" t="n">
        <v>500000</v>
      </c>
      <c r="G25" s="4" t="inlineStr">
        <is>
          <t>ATM-SBI</t>
        </is>
      </c>
      <c r="H25" s="3" t="inlineStr">
        <is>
          <t>Branch</t>
        </is>
      </c>
      <c r="I25" s="3" t="inlineStr">
        <is>
          <t>Hyderabad</t>
        </is>
      </c>
      <c r="J25" s="3" t="inlineStr">
        <is>
          <t>No Flag</t>
        </is>
      </c>
      <c r="K25" s="26" t="n">
        <v>0.4</v>
      </c>
      <c r="L25" s="27" t="inlineStr">
        <is>
          <t>Closed - Genuine</t>
        </is>
      </c>
    </row>
    <row r="26">
      <c r="A26" s="3" t="inlineStr">
        <is>
          <t>TXN250600024</t>
        </is>
      </c>
      <c r="B26" s="3" t="inlineStr">
        <is>
          <t>BFL89655202</t>
        </is>
      </c>
      <c r="C26" s="4" t="inlineStr">
        <is>
          <t>Pooja Mishra</t>
        </is>
      </c>
      <c r="D26" s="5" t="n">
        <v>45811</v>
      </c>
      <c r="E26" s="3" t="inlineStr">
        <is>
          <t>Cheque Deposit</t>
        </is>
      </c>
      <c r="F26" s="6" t="n">
        <v>200000</v>
      </c>
      <c r="G26" s="4" t="inlineStr">
        <is>
          <t>Jewellery Shop</t>
        </is>
      </c>
      <c r="H26" s="3" t="inlineStr">
        <is>
          <t>POS Terminal</t>
        </is>
      </c>
      <c r="I26" s="24" t="inlineStr">
        <is>
          <t>Unknown</t>
        </is>
      </c>
      <c r="J26" s="3" t="inlineStr">
        <is>
          <t>No Flag</t>
        </is>
      </c>
      <c r="K26" s="26" t="n">
        <v>0.39</v>
      </c>
      <c r="L26" s="27" t="inlineStr">
        <is>
          <t>Closed - Genuine</t>
        </is>
      </c>
    </row>
    <row r="27">
      <c r="A27" s="3" t="inlineStr">
        <is>
          <t>TXN250600025</t>
        </is>
      </c>
      <c r="B27" s="3" t="inlineStr">
        <is>
          <t>BFL27518105</t>
        </is>
      </c>
      <c r="C27" s="4" t="inlineStr">
        <is>
          <t>Manju Reddy</t>
        </is>
      </c>
      <c r="D27" s="5" t="n">
        <v>45814</v>
      </c>
      <c r="E27" s="3" t="inlineStr">
        <is>
          <t>POS Transaction</t>
        </is>
      </c>
      <c r="F27" s="6" t="n">
        <v>15000</v>
      </c>
      <c r="G27" s="4" t="inlineStr">
        <is>
          <t>Flipkart</t>
        </is>
      </c>
      <c r="H27" s="3" t="inlineStr">
        <is>
          <t>Branch</t>
        </is>
      </c>
      <c r="I27" s="3" t="inlineStr">
        <is>
          <t>Bengaluru</t>
        </is>
      </c>
      <c r="J27" s="3" t="inlineStr">
        <is>
          <t>No Flag</t>
        </is>
      </c>
      <c r="K27" s="22" t="n">
        <v>0.53</v>
      </c>
      <c r="L27" s="23" t="inlineStr">
        <is>
          <t>Pending Review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20" customWidth="1" min="4" max="4"/>
    <col width="15" customWidth="1" min="5" max="5"/>
    <col width="18" customWidth="1" min="6" max="6"/>
    <col width="38" customWidth="1" min="7" max="7"/>
  </cols>
  <sheetData>
    <row r="1" ht="28" customHeight="1">
      <c r="A1" s="1" t="inlineStr">
        <is>
          <t>MONTHLY RISK REPORTING DASHBOARD — JUNE 2025</t>
        </is>
      </c>
    </row>
    <row r="3">
      <c r="A3" s="15" t="inlineStr">
        <is>
          <t>A. KEY PORTFOLIO RISK INDICATORS</t>
        </is>
      </c>
    </row>
    <row r="4" ht="30" customHeight="1">
      <c r="A4" s="29" t="inlineStr">
        <is>
          <t>KPI</t>
        </is>
      </c>
      <c r="B4" s="29" t="inlineStr">
        <is>
          <t>Previous Month</t>
        </is>
      </c>
      <c r="C4" s="29" t="inlineStr">
        <is>
          <t>Current Month</t>
        </is>
      </c>
      <c r="D4" s="29" t="inlineStr">
        <is>
          <t>Change</t>
        </is>
      </c>
      <c r="E4" s="29" t="inlineStr">
        <is>
          <t>Threshold</t>
        </is>
      </c>
      <c r="F4" s="29" t="inlineStr">
        <is>
          <t>Status</t>
        </is>
      </c>
    </row>
    <row r="5">
      <c r="A5" s="30" t="inlineStr">
        <is>
          <t>Gross NPA %</t>
        </is>
      </c>
      <c r="B5" s="3" t="inlineStr">
        <is>
          <t>3.80%</t>
        </is>
      </c>
      <c r="C5" s="31" t="inlineStr">
        <is>
          <t>4.10%</t>
        </is>
      </c>
      <c r="D5" s="32" t="inlineStr">
        <is>
          <t>+0.30%</t>
        </is>
      </c>
      <c r="E5" s="3" t="inlineStr">
        <is>
          <t>&lt; 4.50%</t>
        </is>
      </c>
      <c r="F5" s="33" t="inlineStr">
        <is>
          <t>WATCH</t>
        </is>
      </c>
    </row>
    <row r="6">
      <c r="A6" s="30" t="inlineStr">
        <is>
          <t>Net NPA %</t>
        </is>
      </c>
      <c r="B6" s="3" t="inlineStr">
        <is>
          <t>1.90%</t>
        </is>
      </c>
      <c r="C6" s="31" t="inlineStr">
        <is>
          <t>2.05%</t>
        </is>
      </c>
      <c r="D6" s="32" t="inlineStr">
        <is>
          <t>+0.15%</t>
        </is>
      </c>
      <c r="E6" s="3" t="inlineStr">
        <is>
          <t>&lt; 2.50%</t>
        </is>
      </c>
      <c r="F6" s="34" t="inlineStr">
        <is>
          <t>NORMAL</t>
        </is>
      </c>
    </row>
    <row r="7">
      <c r="A7" s="30" t="inlineStr">
        <is>
          <t>Provision Coverage Ratio</t>
        </is>
      </c>
      <c r="B7" s="3" t="inlineStr">
        <is>
          <t>68.5%</t>
        </is>
      </c>
      <c r="C7" s="31" t="inlineStr">
        <is>
          <t>71.2%</t>
        </is>
      </c>
      <c r="D7" s="35" t="inlineStr">
        <is>
          <t>+2.7%</t>
        </is>
      </c>
      <c r="E7" s="3" t="inlineStr">
        <is>
          <t>&gt; 65%</t>
        </is>
      </c>
      <c r="F7" s="34" t="inlineStr">
        <is>
          <t>NORMAL</t>
        </is>
      </c>
    </row>
    <row r="8">
      <c r="A8" s="30" t="inlineStr">
        <is>
          <t>Credit Cost (annualised)</t>
        </is>
      </c>
      <c r="B8" s="3" t="inlineStr">
        <is>
          <t>1.85%</t>
        </is>
      </c>
      <c r="C8" s="31" t="inlineStr">
        <is>
          <t>2.10%</t>
        </is>
      </c>
      <c r="D8" s="35" t="inlineStr">
        <is>
          <t>+0.25%</t>
        </is>
      </c>
      <c r="E8" s="3" t="inlineStr">
        <is>
          <t>&lt; 2.50%</t>
        </is>
      </c>
      <c r="F8" s="34" t="inlineStr">
        <is>
          <t>NORMAL</t>
        </is>
      </c>
    </row>
    <row r="9">
      <c r="A9" s="30" t="inlineStr">
        <is>
          <t>Collection Efficiency</t>
        </is>
      </c>
      <c r="B9" s="3" t="inlineStr">
        <is>
          <t>97.2%</t>
        </is>
      </c>
      <c r="C9" s="31" t="inlineStr">
        <is>
          <t>96.8%</t>
        </is>
      </c>
      <c r="D9" s="35" t="inlineStr">
        <is>
          <t>-0.4%</t>
        </is>
      </c>
      <c r="E9" s="3" t="inlineStr">
        <is>
          <t>&gt; 96%</t>
        </is>
      </c>
      <c r="F9" s="34" t="inlineStr">
        <is>
          <t>NORMAL</t>
        </is>
      </c>
    </row>
    <row r="10">
      <c r="A10" s="30" t="inlineStr">
        <is>
          <t>SMA-0 Accounts</t>
        </is>
      </c>
      <c r="B10" s="3" t="inlineStr">
        <is>
          <t>8.2%</t>
        </is>
      </c>
      <c r="C10" s="31" t="inlineStr">
        <is>
          <t>9.1%</t>
        </is>
      </c>
      <c r="D10" s="35" t="inlineStr">
        <is>
          <t>+0.9%</t>
        </is>
      </c>
      <c r="E10" s="3" t="inlineStr">
        <is>
          <t>&lt; 10%</t>
        </is>
      </c>
      <c r="F10" s="33" t="inlineStr">
        <is>
          <t>WATCH</t>
        </is>
      </c>
    </row>
    <row r="11">
      <c r="A11" s="30" t="inlineStr">
        <is>
          <t>Write-off Rate</t>
        </is>
      </c>
      <c r="B11" s="3" t="inlineStr">
        <is>
          <t>0.65%</t>
        </is>
      </c>
      <c r="C11" s="31" t="inlineStr">
        <is>
          <t>0.72%</t>
        </is>
      </c>
      <c r="D11" s="35" t="inlineStr">
        <is>
          <t>+0.07%</t>
        </is>
      </c>
      <c r="E11" s="3" t="inlineStr">
        <is>
          <t>&lt; 1.0%</t>
        </is>
      </c>
      <c r="F11" s="34" t="inlineStr">
        <is>
          <t>NORMAL</t>
        </is>
      </c>
    </row>
    <row r="12">
      <c r="A12" s="30" t="inlineStr">
        <is>
          <t>Capital Adequacy Ratio</t>
        </is>
      </c>
      <c r="B12" s="3" t="inlineStr">
        <is>
          <t>17.8%</t>
        </is>
      </c>
      <c r="C12" s="31" t="inlineStr">
        <is>
          <t>18.1%</t>
        </is>
      </c>
      <c r="D12" s="3" t="inlineStr">
        <is>
          <t>+0.3%</t>
        </is>
      </c>
      <c r="E12" s="3" t="inlineStr">
        <is>
          <t>&gt; 15%</t>
        </is>
      </c>
      <c r="F12" s="34" t="inlineStr">
        <is>
          <t>NORMAL</t>
        </is>
      </c>
    </row>
    <row r="15">
      <c r="A15" s="15" t="inlineStr">
        <is>
          <t>B. DPD BUCKET-WISE PORTFOLIO DISTRIBUTION</t>
        </is>
      </c>
    </row>
    <row r="16" ht="30" customHeight="1">
      <c r="A16" s="29" t="inlineStr">
        <is>
          <t>DPD Bucket</t>
        </is>
      </c>
      <c r="B16" s="29" t="inlineStr">
        <is>
          <t>NPA Classification</t>
        </is>
      </c>
      <c r="C16" s="29" t="inlineStr">
        <is>
          <t>No. of Accounts</t>
        </is>
      </c>
      <c r="D16" s="29" t="inlineStr">
        <is>
          <t>Outstanding (₹ Cr)</t>
        </is>
      </c>
      <c r="E16" s="29" t="inlineStr">
        <is>
          <t>% of Portfolio</t>
        </is>
      </c>
      <c r="F16" s="29" t="inlineStr">
        <is>
          <t>Provision (₹ Cr)</t>
        </is>
      </c>
      <c r="G16" s="29" t="inlineStr">
        <is>
          <t>Action Required</t>
        </is>
      </c>
    </row>
    <row r="17">
      <c r="A17" s="11" t="inlineStr">
        <is>
          <t>0 DPD</t>
        </is>
      </c>
      <c r="B17" s="3" t="inlineStr">
        <is>
          <t>Standard</t>
        </is>
      </c>
      <c r="C17" s="36" t="n">
        <v>18420</v>
      </c>
      <c r="D17" s="37" t="n">
        <v>2850.4</v>
      </c>
      <c r="E17" s="3" t="inlineStr">
        <is>
          <t>74.2%</t>
        </is>
      </c>
      <c r="F17" s="37" t="n">
        <v>14.25</v>
      </c>
      <c r="G17" s="4" t="inlineStr">
        <is>
          <t>Routine monitoring</t>
        </is>
      </c>
    </row>
    <row r="18">
      <c r="A18" s="9" t="inlineStr">
        <is>
          <t>1-30 DPD</t>
        </is>
      </c>
      <c r="B18" s="3" t="inlineStr">
        <is>
          <t>Special Mention</t>
        </is>
      </c>
      <c r="C18" s="36" t="n">
        <v>2100</v>
      </c>
      <c r="D18" s="37" t="n">
        <v>420.5</v>
      </c>
      <c r="E18" s="3" t="inlineStr">
        <is>
          <t>10.9%</t>
        </is>
      </c>
      <c r="F18" s="37" t="n">
        <v>21.03</v>
      </c>
      <c r="G18" s="4" t="inlineStr">
        <is>
          <t>Early warning alerts</t>
        </is>
      </c>
    </row>
    <row r="19">
      <c r="A19" s="7" t="inlineStr">
        <is>
          <t>31-60 DPD</t>
        </is>
      </c>
      <c r="B19" s="3" t="inlineStr">
        <is>
          <t>Special Mention</t>
        </is>
      </c>
      <c r="C19" s="36" t="n">
        <v>980</v>
      </c>
      <c r="D19" s="37" t="n">
        <v>185.2</v>
      </c>
      <c r="E19" s="3" t="inlineStr">
        <is>
          <t>4.8%</t>
        </is>
      </c>
      <c r="F19" s="37" t="n">
        <v>27.78</v>
      </c>
      <c r="G19" s="4" t="inlineStr">
        <is>
          <t>Soft collection drive</t>
        </is>
      </c>
    </row>
    <row r="20">
      <c r="A20" s="10" t="inlineStr">
        <is>
          <t>61-90 DPD</t>
        </is>
      </c>
      <c r="B20" s="3" t="inlineStr">
        <is>
          <t>Sub-Standard</t>
        </is>
      </c>
      <c r="C20" s="36" t="n">
        <v>560</v>
      </c>
      <c r="D20" s="37" t="n">
        <v>112.8</v>
      </c>
      <c r="E20" s="3" t="inlineStr">
        <is>
          <t>2.9%</t>
        </is>
      </c>
      <c r="F20" s="37" t="n">
        <v>28.2</v>
      </c>
      <c r="G20" s="4" t="inlineStr">
        <is>
          <t>Field collection + legal notice</t>
        </is>
      </c>
    </row>
    <row r="21">
      <c r="A21" s="12" t="inlineStr">
        <is>
          <t>91-180 DPD</t>
        </is>
      </c>
      <c r="B21" s="3" t="inlineStr">
        <is>
          <t>Doubtful</t>
        </is>
      </c>
      <c r="C21" s="36" t="n">
        <v>420</v>
      </c>
      <c r="D21" s="37" t="n">
        <v>98.5</v>
      </c>
      <c r="E21" s="3" t="inlineStr">
        <is>
          <t>2.6%</t>
        </is>
      </c>
      <c r="F21" s="37" t="n">
        <v>39.4</v>
      </c>
      <c r="G21" s="4" t="inlineStr">
        <is>
          <t>NPA provisioning; legal action</t>
        </is>
      </c>
    </row>
    <row r="22">
      <c r="A22" s="38" t="inlineStr">
        <is>
          <t>180+ DPD</t>
        </is>
      </c>
      <c r="B22" s="3" t="inlineStr">
        <is>
          <t>Loss</t>
        </is>
      </c>
      <c r="C22" s="36" t="n">
        <v>310</v>
      </c>
      <c r="D22" s="37" t="n">
        <v>172.3</v>
      </c>
      <c r="E22" s="3" t="inlineStr">
        <is>
          <t>4.5%</t>
        </is>
      </c>
      <c r="F22" s="37" t="n">
        <v>120.61</v>
      </c>
      <c r="G22" s="4" t="inlineStr">
        <is>
          <t>Write-off evaluation; SARFAESI</t>
        </is>
      </c>
    </row>
    <row r="23">
      <c r="A23" s="39" t="n"/>
      <c r="B23" s="39" t="n"/>
      <c r="C23" s="39" t="n"/>
      <c r="D23" s="39" t="n"/>
      <c r="E23" s="39" t="n"/>
      <c r="F23" s="39" t="n"/>
      <c r="G23" s="39" t="n"/>
    </row>
  </sheetData>
  <mergeCells count="3">
    <mergeCell ref="A15:H15"/>
    <mergeCell ref="A3:H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42" customWidth="1" min="3" max="3"/>
    <col width="26" customWidth="1" min="4" max="4"/>
    <col width="16" customWidth="1" min="5" max="5"/>
    <col width="16" customWidth="1" min="6" max="6"/>
    <col width="16" customWidth="1" min="7" max="7"/>
    <col width="14" customWidth="1" min="8" max="8"/>
    <col width="30" customWidth="1" min="9" max="9"/>
    <col width="36" customWidth="1" min="10" max="10"/>
  </cols>
  <sheetData>
    <row r="1" ht="28" customHeight="1">
      <c r="A1" s="1" t="inlineStr">
        <is>
          <t>POLICY &amp; REGULATORY COMPLIANCE TRACKER — FY2025-26 Q1</t>
        </is>
      </c>
    </row>
    <row r="2" ht="42" customHeight="1">
      <c r="A2" s="2" t="inlineStr">
        <is>
          <t>Policy/Regulation</t>
        </is>
      </c>
      <c r="B2" s="2" t="inlineStr">
        <is>
          <t>Regulatory Body</t>
        </is>
      </c>
      <c r="C2" s="2" t="inlineStr">
        <is>
          <t>Requirement Summary</t>
        </is>
      </c>
      <c r="D2" s="2" t="inlineStr">
        <is>
          <t>Compliance Owner</t>
        </is>
      </c>
      <c r="E2" s="2" t="inlineStr">
        <is>
          <t>Review Frequency</t>
        </is>
      </c>
      <c r="F2" s="2" t="inlineStr">
        <is>
          <t>Last Review Date</t>
        </is>
      </c>
      <c r="G2" s="2" t="inlineStr">
        <is>
          <t>Next Review Date</t>
        </is>
      </c>
      <c r="H2" s="2" t="inlineStr">
        <is>
          <t>Compliance Status</t>
        </is>
      </c>
      <c r="I2" s="2" t="inlineStr">
        <is>
          <t>Gap Identified</t>
        </is>
      </c>
      <c r="J2" s="2" t="inlineStr">
        <is>
          <t>Action Required</t>
        </is>
      </c>
    </row>
    <row r="3">
      <c r="A3" s="30" t="inlineStr">
        <is>
          <t>RBI Master Circular - KYC</t>
        </is>
      </c>
      <c r="B3" s="3" t="inlineStr">
        <is>
          <t>Reserve Bank of India</t>
        </is>
      </c>
      <c r="C3" s="4" t="inlineStr">
        <is>
          <t>Periodic KYC update for all borrowers every 2 years</t>
        </is>
      </c>
      <c r="D3" s="3" t="inlineStr">
        <is>
          <t>Head - Compliance</t>
        </is>
      </c>
      <c r="E3" s="3" t="inlineStr">
        <is>
          <t>Quarterly</t>
        </is>
      </c>
      <c r="F3" s="3" t="inlineStr">
        <is>
          <t>15-Apr-2025</t>
        </is>
      </c>
      <c r="G3" s="3" t="inlineStr">
        <is>
          <t>15-Jul-2025</t>
        </is>
      </c>
      <c r="H3" s="11" t="inlineStr">
        <is>
          <t>COMPLIANT</t>
        </is>
      </c>
      <c r="I3" s="4" t="inlineStr">
        <is>
          <t>None</t>
        </is>
      </c>
      <c r="J3" s="4" t="inlineStr">
        <is>
          <t>Routine review</t>
        </is>
      </c>
    </row>
    <row r="4">
      <c r="A4" s="30" t="inlineStr">
        <is>
          <t>SARFAESI Act 2002</t>
        </is>
      </c>
      <c r="B4" s="3" t="inlineStr">
        <is>
          <t>Ministry of Finance</t>
        </is>
      </c>
      <c r="C4" s="4" t="inlineStr">
        <is>
          <t>NPA classification and enforcement action within 60 days</t>
        </is>
      </c>
      <c r="D4" s="3" t="inlineStr">
        <is>
          <t>Head - Collections</t>
        </is>
      </c>
      <c r="E4" s="3" t="inlineStr">
        <is>
          <t>Monthly</t>
        </is>
      </c>
      <c r="F4" s="3" t="inlineStr">
        <is>
          <t>01-Jun-2025</t>
        </is>
      </c>
      <c r="G4" s="3" t="inlineStr">
        <is>
          <t>01-Jul-2025</t>
        </is>
      </c>
      <c r="H4" s="11" t="inlineStr">
        <is>
          <t>COMPLIANT</t>
        </is>
      </c>
      <c r="I4" s="4" t="inlineStr">
        <is>
          <t>None</t>
        </is>
      </c>
      <c r="J4" s="4" t="inlineStr">
        <is>
          <t>Continue monitoring</t>
        </is>
      </c>
    </row>
    <row r="5">
      <c r="A5" s="30" t="inlineStr">
        <is>
          <t>RBI Fair Practices Code</t>
        </is>
      </c>
      <c r="B5" s="3" t="inlineStr">
        <is>
          <t>Reserve Bank of India</t>
        </is>
      </c>
      <c r="C5" s="4" t="inlineStr">
        <is>
          <t>Transparent loan pricing; no hidden charges</t>
        </is>
      </c>
      <c r="D5" s="3" t="inlineStr">
        <is>
          <t>Head - Credit</t>
        </is>
      </c>
      <c r="E5" s="3" t="inlineStr">
        <is>
          <t>Quarterly</t>
        </is>
      </c>
      <c r="F5" s="3" t="inlineStr">
        <is>
          <t>01-Apr-2025</t>
        </is>
      </c>
      <c r="G5" s="3" t="inlineStr">
        <is>
          <t>01-Jul-2025</t>
        </is>
      </c>
      <c r="H5" s="9" t="inlineStr">
        <is>
          <t>WATCH</t>
        </is>
      </c>
      <c r="I5" s="40" t="inlineStr">
        <is>
          <t>Fee disclosure partial</t>
        </is>
      </c>
      <c r="J5" s="4" t="inlineStr">
        <is>
          <t>Update T&amp;C documents</t>
        </is>
      </c>
    </row>
    <row r="6">
      <c r="A6" s="30" t="inlineStr">
        <is>
          <t>PMLA 2002 - AML/CFT</t>
        </is>
      </c>
      <c r="B6" s="3" t="inlineStr">
        <is>
          <t>Financial Intelligence Unit</t>
        </is>
      </c>
      <c r="C6" s="4" t="inlineStr">
        <is>
          <t>Suspicious transaction reporting within 7 days</t>
        </is>
      </c>
      <c r="D6" s="3" t="inlineStr">
        <is>
          <t>Head - Risk</t>
        </is>
      </c>
      <c r="E6" s="3" t="inlineStr">
        <is>
          <t>Monthly</t>
        </is>
      </c>
      <c r="F6" s="3" t="inlineStr">
        <is>
          <t>05-Jun-2025</t>
        </is>
      </c>
      <c r="G6" s="3" t="inlineStr">
        <is>
          <t>05-Jul-2025</t>
        </is>
      </c>
      <c r="H6" s="11" t="inlineStr">
        <is>
          <t>COMPLIANT</t>
        </is>
      </c>
      <c r="I6" s="4" t="inlineStr">
        <is>
          <t>None</t>
        </is>
      </c>
      <c r="J6" s="4" t="inlineStr">
        <is>
          <t>Routine STR submission</t>
        </is>
      </c>
    </row>
    <row r="7">
      <c r="A7" s="30" t="inlineStr">
        <is>
          <t>RBI Prudential Norms</t>
        </is>
      </c>
      <c r="B7" s="3" t="inlineStr">
        <is>
          <t>Reserve Bank of India</t>
        </is>
      </c>
      <c r="C7" s="4" t="inlineStr">
        <is>
          <t>NPA provisioning norms and capital adequacy compliance</t>
        </is>
      </c>
      <c r="D7" s="3" t="inlineStr">
        <is>
          <t>CFO</t>
        </is>
      </c>
      <c r="E7" s="3" t="inlineStr">
        <is>
          <t>Monthly</t>
        </is>
      </c>
      <c r="F7" s="3" t="inlineStr">
        <is>
          <t>30-May-2025</t>
        </is>
      </c>
      <c r="G7" s="3" t="inlineStr">
        <is>
          <t>30-Jun-2025</t>
        </is>
      </c>
      <c r="H7" s="11" t="inlineStr">
        <is>
          <t>COMPLIANT</t>
        </is>
      </c>
      <c r="I7" s="4" t="inlineStr">
        <is>
          <t>None</t>
        </is>
      </c>
      <c r="J7" s="4" t="inlineStr">
        <is>
          <t>CAR maintained at 18.1%</t>
        </is>
      </c>
    </row>
    <row r="8">
      <c r="A8" s="30" t="inlineStr">
        <is>
          <t>NBFC Liquidity Risk Mgmt</t>
        </is>
      </c>
      <c r="B8" s="3" t="inlineStr">
        <is>
          <t>Reserve Bank of India</t>
        </is>
      </c>
      <c r="C8" s="4" t="inlineStr">
        <is>
          <t>LCR reporting and ALM compliance</t>
        </is>
      </c>
      <c r="D8" s="3" t="inlineStr">
        <is>
          <t>Head - Treasury</t>
        </is>
      </c>
      <c r="E8" s="3" t="inlineStr">
        <is>
          <t>Monthly</t>
        </is>
      </c>
      <c r="F8" s="3" t="inlineStr">
        <is>
          <t>25-May-2025</t>
        </is>
      </c>
      <c r="G8" s="3" t="inlineStr">
        <is>
          <t>25-Jun-2025</t>
        </is>
      </c>
      <c r="H8" s="11" t="inlineStr">
        <is>
          <t>COMPLIANT</t>
        </is>
      </c>
      <c r="I8" s="4" t="inlineStr">
        <is>
          <t>None</t>
        </is>
      </c>
      <c r="J8" s="4" t="inlineStr">
        <is>
          <t>LCR at 145%</t>
        </is>
      </c>
    </row>
    <row r="9">
      <c r="A9" s="30" t="inlineStr">
        <is>
          <t>Data Protection - DPDP Act</t>
        </is>
      </c>
      <c r="B9" s="3" t="inlineStr">
        <is>
          <t>MeitY</t>
        </is>
      </c>
      <c r="C9" s="4" t="inlineStr">
        <is>
          <t>Customer data localisation and consent management</t>
        </is>
      </c>
      <c r="D9" s="3" t="inlineStr">
        <is>
          <t>CISO</t>
        </is>
      </c>
      <c r="E9" s="3" t="inlineStr">
        <is>
          <t>Quarterly</t>
        </is>
      </c>
      <c r="F9" s="3" t="inlineStr">
        <is>
          <t>01-Apr-2025</t>
        </is>
      </c>
      <c r="G9" s="3" t="inlineStr">
        <is>
          <t>01-Jul-2025</t>
        </is>
      </c>
      <c r="H9" s="12" t="inlineStr">
        <is>
          <t>AT RISK</t>
        </is>
      </c>
      <c r="I9" s="40" t="inlineStr">
        <is>
          <t>Consent framework incomplete</t>
        </is>
      </c>
      <c r="J9" s="4" t="inlineStr">
        <is>
          <t>Deploy consent module by Jul-25</t>
        </is>
      </c>
    </row>
    <row r="10">
      <c r="A10" s="30" t="inlineStr">
        <is>
          <t>Credit Information Reporting</t>
        </is>
      </c>
      <c r="B10" s="3" t="inlineStr">
        <is>
          <t>CIBIL / CRIF</t>
        </is>
      </c>
      <c r="C10" s="4" t="inlineStr">
        <is>
          <t>Monthly submission of borrower data to bureaus</t>
        </is>
      </c>
      <c r="D10" s="3" t="inlineStr">
        <is>
          <t>Head - Credit Ops</t>
        </is>
      </c>
      <c r="E10" s="3" t="inlineStr">
        <is>
          <t>Monthly</t>
        </is>
      </c>
      <c r="F10" s="3" t="inlineStr">
        <is>
          <t>07-Jun-2025</t>
        </is>
      </c>
      <c r="G10" s="3" t="inlineStr">
        <is>
          <t>07-Jul-2025</t>
        </is>
      </c>
      <c r="H10" s="11" t="inlineStr">
        <is>
          <t>COMPLIANT</t>
        </is>
      </c>
      <c r="I10" s="4" t="inlineStr">
        <is>
          <t>None</t>
        </is>
      </c>
      <c r="J10" s="4" t="inlineStr">
        <is>
          <t>Submission on schedule</t>
        </is>
      </c>
    </row>
    <row r="11">
      <c r="A11" s="30" t="inlineStr">
        <is>
          <t>IRAC Norms</t>
        </is>
      </c>
      <c r="B11" s="3" t="inlineStr">
        <is>
          <t>Reserve Bank of India</t>
        </is>
      </c>
      <c r="C11" s="4" t="inlineStr">
        <is>
          <t>Asset classification per IRAC guidelines</t>
        </is>
      </c>
      <c r="D11" s="3" t="inlineStr">
        <is>
          <t>Head - Credit Risk</t>
        </is>
      </c>
      <c r="E11" s="3" t="inlineStr">
        <is>
          <t>Monthly</t>
        </is>
      </c>
      <c r="F11" s="3" t="inlineStr">
        <is>
          <t>31-May-2025</t>
        </is>
      </c>
      <c r="G11" s="3" t="inlineStr">
        <is>
          <t>30-Jun-2025</t>
        </is>
      </c>
      <c r="H11" s="11" t="inlineStr">
        <is>
          <t>COMPLIANT</t>
        </is>
      </c>
      <c r="I11" s="4" t="inlineStr">
        <is>
          <t>None</t>
        </is>
      </c>
      <c r="J11" s="4" t="inlineStr">
        <is>
          <t>Classification validated</t>
        </is>
      </c>
    </row>
    <row r="12">
      <c r="A12" s="30" t="inlineStr">
        <is>
          <t>Ombudsman Scheme - NBFC</t>
        </is>
      </c>
      <c r="B12" s="3" t="inlineStr">
        <is>
          <t>Reserve Bank of India</t>
        </is>
      </c>
      <c r="C12" s="4" t="inlineStr">
        <is>
          <t>Grievance redressal within 30 days</t>
        </is>
      </c>
      <c r="D12" s="3" t="inlineStr">
        <is>
          <t>Head - Customer Svc</t>
        </is>
      </c>
      <c r="E12" s="3" t="inlineStr">
        <is>
          <t>Quarterly</t>
        </is>
      </c>
      <c r="F12" s="3" t="inlineStr">
        <is>
          <t>01-Apr-2025</t>
        </is>
      </c>
      <c r="G12" s="3" t="inlineStr">
        <is>
          <t>01-Jul-2025</t>
        </is>
      </c>
      <c r="H12" s="9" t="inlineStr">
        <is>
          <t>WATCH</t>
        </is>
      </c>
      <c r="I12" s="40" t="inlineStr">
        <is>
          <t>TAT breach in 3 cases</t>
        </is>
      </c>
      <c r="J12" s="4" t="inlineStr">
        <is>
          <t>Escalate overdue complaints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6" customWidth="1" min="3" max="3"/>
    <col width="16" customWidth="1" min="4" max="4"/>
    <col width="18" customWidth="1" min="5" max="5"/>
    <col width="16" customWidth="1" min="6" max="6"/>
    <col width="12" customWidth="1" min="7" max="7"/>
    <col width="28" customWidth="1" min="8" max="8"/>
    <col width="52" customWidth="1" min="9" max="9"/>
  </cols>
  <sheetData>
    <row r="1" ht="28" customHeight="1">
      <c r="A1" s="20" t="inlineStr">
        <is>
          <t>EMERGING RISK MONITORING — EARLY WARNING SIGNALS (Q1 FY26)</t>
        </is>
      </c>
    </row>
    <row r="2" ht="38" customHeight="1">
      <c r="A2" s="21" t="inlineStr">
        <is>
          <t>Signal ID</t>
        </is>
      </c>
      <c r="B2" s="21" t="inlineStr">
        <is>
          <t>Risk Category</t>
        </is>
      </c>
      <c r="C2" s="21" t="inlineStr">
        <is>
          <t>Indicator</t>
        </is>
      </c>
      <c r="D2" s="21" t="inlineStr">
        <is>
          <t>Trend</t>
        </is>
      </c>
      <c r="E2" s="21" t="inlineStr">
        <is>
          <t>Current Level</t>
        </is>
      </c>
      <c r="F2" s="21" t="inlineStr">
        <is>
          <t>Threshold</t>
        </is>
      </c>
      <c r="G2" s="21" t="inlineStr">
        <is>
          <t>Alert Level</t>
        </is>
      </c>
      <c r="H2" s="21" t="inlineStr">
        <is>
          <t>Monitoring Owner</t>
        </is>
      </c>
      <c r="I2" s="21" t="inlineStr">
        <is>
          <t>Recommended Action</t>
        </is>
      </c>
    </row>
    <row r="3">
      <c r="A3" s="31" t="inlineStr">
        <is>
          <t>EWS-001</t>
        </is>
      </c>
      <c r="B3" s="4" t="inlineStr">
        <is>
          <t>Credit Risk</t>
        </is>
      </c>
      <c r="C3" s="4" t="inlineStr">
        <is>
          <t>SMA-0 to SMA-1 roll rate</t>
        </is>
      </c>
      <c r="D3" s="41" t="inlineStr">
        <is>
          <t>↑ Increasing</t>
        </is>
      </c>
      <c r="E3" s="3" t="inlineStr">
        <is>
          <t>12.4%</t>
        </is>
      </c>
      <c r="F3" s="3" t="inlineStr">
        <is>
          <t>&lt; 10%</t>
        </is>
      </c>
      <c r="G3" s="12" t="inlineStr">
        <is>
          <t>HIGH</t>
        </is>
      </c>
      <c r="H3" s="4" t="inlineStr">
        <is>
          <t>Head - Credit Risk</t>
        </is>
      </c>
      <c r="I3" s="4" t="inlineStr">
        <is>
          <t>Trigger early collection for SMA accounts; review underwriting criteria</t>
        </is>
      </c>
    </row>
    <row r="4">
      <c r="A4" s="31" t="inlineStr">
        <is>
          <t>EWS-002</t>
        </is>
      </c>
      <c r="B4" s="4" t="inlineStr">
        <is>
          <t>Liquidity Risk</t>
        </is>
      </c>
      <c r="C4" s="4" t="inlineStr">
        <is>
          <t>LCR (30-day)</t>
        </is>
      </c>
      <c r="D4" s="42" t="inlineStr">
        <is>
          <t>→ Stable</t>
        </is>
      </c>
      <c r="E4" s="3" t="inlineStr">
        <is>
          <t>145%</t>
        </is>
      </c>
      <c r="F4" s="3" t="inlineStr">
        <is>
          <t>&gt; 100%</t>
        </is>
      </c>
      <c r="G4" s="11" t="inlineStr">
        <is>
          <t>LOW</t>
        </is>
      </c>
      <c r="H4" s="4" t="inlineStr">
        <is>
          <t>Head - Treasury</t>
        </is>
      </c>
      <c r="I4" s="4" t="inlineStr">
        <is>
          <t>Maintain buffer; monitor market liquidity</t>
        </is>
      </c>
    </row>
    <row r="5">
      <c r="A5" s="31" t="inlineStr">
        <is>
          <t>EWS-003</t>
        </is>
      </c>
      <c r="B5" s="4" t="inlineStr">
        <is>
          <t>Fraud Risk</t>
        </is>
      </c>
      <c r="C5" s="4" t="inlineStr">
        <is>
          <t>UPI fraud attempts (monthly)</t>
        </is>
      </c>
      <c r="D5" s="41" t="inlineStr">
        <is>
          <t>↑ Increasing</t>
        </is>
      </c>
      <c r="E5" s="3" t="inlineStr">
        <is>
          <t>186 cases</t>
        </is>
      </c>
      <c r="F5" s="3" t="inlineStr">
        <is>
          <t>&lt; 100 cases</t>
        </is>
      </c>
      <c r="G5" s="12" t="inlineStr">
        <is>
          <t>HIGH</t>
        </is>
      </c>
      <c r="H5" s="4" t="inlineStr">
        <is>
          <t>Head - Risk &amp; Fraud</t>
        </is>
      </c>
      <c r="I5" s="4" t="inlineStr">
        <is>
          <t>Enable real-time ML scoring; block suspicious UPI handles</t>
        </is>
      </c>
    </row>
    <row r="6">
      <c r="A6" s="31" t="inlineStr">
        <is>
          <t>EWS-004</t>
        </is>
      </c>
      <c r="B6" s="4" t="inlineStr">
        <is>
          <t>Market Risk</t>
        </is>
      </c>
      <c r="C6" s="4" t="inlineStr">
        <is>
          <t>Repo rate sensitivity (NIM impact)</t>
        </is>
      </c>
      <c r="D6" s="41" t="inlineStr">
        <is>
          <t>↑ Adverse</t>
        </is>
      </c>
      <c r="E6" s="3" t="inlineStr">
        <is>
          <t>-18 bps</t>
        </is>
      </c>
      <c r="F6" s="3" t="inlineStr">
        <is>
          <t>&lt; -15 bps</t>
        </is>
      </c>
      <c r="G6" s="9" t="inlineStr">
        <is>
          <t>MEDIUM</t>
        </is>
      </c>
      <c r="H6" s="4" t="inlineStr">
        <is>
          <t>CFO</t>
        </is>
      </c>
      <c r="I6" s="4" t="inlineStr">
        <is>
          <t>Hedge fixed-rate book; review product pricing</t>
        </is>
      </c>
    </row>
    <row r="7">
      <c r="A7" s="31" t="inlineStr">
        <is>
          <t>EWS-005</t>
        </is>
      </c>
      <c r="B7" s="4" t="inlineStr">
        <is>
          <t>Operational Risk</t>
        </is>
      </c>
      <c r="C7" s="4" t="inlineStr">
        <is>
          <t>System downtime incidents</t>
        </is>
      </c>
      <c r="D7" s="42" t="inlineStr">
        <is>
          <t>→ Stable</t>
        </is>
      </c>
      <c r="E7" s="3" t="inlineStr">
        <is>
          <t>2 incidents</t>
        </is>
      </c>
      <c r="F7" s="3" t="inlineStr">
        <is>
          <t>&lt; 3 incidents</t>
        </is>
      </c>
      <c r="G7" s="11" t="inlineStr">
        <is>
          <t>LOW</t>
        </is>
      </c>
      <c r="H7" s="4" t="inlineStr">
        <is>
          <t>CTO / IT Risk</t>
        </is>
      </c>
      <c r="I7" s="4" t="inlineStr">
        <is>
          <t>Root cause analysis complete; DR tested</t>
        </is>
      </c>
    </row>
    <row r="8">
      <c r="A8" s="31" t="inlineStr">
        <is>
          <t>EWS-006</t>
        </is>
      </c>
      <c r="B8" s="4" t="inlineStr">
        <is>
          <t>Credit Risk</t>
        </is>
      </c>
      <c r="C8" s="4" t="inlineStr">
        <is>
          <t>Restructured loans SMA migration</t>
        </is>
      </c>
      <c r="D8" s="41" t="inlineStr">
        <is>
          <t>↑ Increasing</t>
        </is>
      </c>
      <c r="E8" s="3" t="inlineStr">
        <is>
          <t>8.7%</t>
        </is>
      </c>
      <c r="F8" s="3" t="inlineStr">
        <is>
          <t>&lt; 7%</t>
        </is>
      </c>
      <c r="G8" s="9" t="inlineStr">
        <is>
          <t>MEDIUM</t>
        </is>
      </c>
      <c r="H8" s="4" t="inlineStr">
        <is>
          <t>Head - Credit</t>
        </is>
      </c>
      <c r="I8" s="4" t="inlineStr">
        <is>
          <t>Enhanced monitoring for restructured pool; field visits</t>
        </is>
      </c>
    </row>
    <row r="9">
      <c r="A9" s="31" t="inlineStr">
        <is>
          <t>EWS-007</t>
        </is>
      </c>
      <c r="B9" s="4" t="inlineStr">
        <is>
          <t>Concentration Risk</t>
        </is>
      </c>
      <c r="C9" s="4" t="inlineStr">
        <is>
          <t>Top-10 borrower exposure</t>
        </is>
      </c>
      <c r="D9" s="42" t="inlineStr">
        <is>
          <t>→ Stable</t>
        </is>
      </c>
      <c r="E9" s="3" t="inlineStr">
        <is>
          <t>18.2%</t>
        </is>
      </c>
      <c r="F9" s="3" t="inlineStr">
        <is>
          <t>&lt; 20%</t>
        </is>
      </c>
      <c r="G9" s="11" t="inlineStr">
        <is>
          <t>LOW</t>
        </is>
      </c>
      <c r="H9" s="4" t="inlineStr">
        <is>
          <t>Head - Credit Risk</t>
        </is>
      </c>
      <c r="I9" s="4" t="inlineStr">
        <is>
          <t>No action required; within limit</t>
        </is>
      </c>
    </row>
    <row r="10">
      <c r="A10" s="31" t="inlineStr">
        <is>
          <t>EWS-008</t>
        </is>
      </c>
      <c r="B10" s="4" t="inlineStr">
        <is>
          <t>Cyber Risk</t>
        </is>
      </c>
      <c r="C10" s="4" t="inlineStr">
        <is>
          <t>Phishing attempts on portals</t>
        </is>
      </c>
      <c r="D10" s="41" t="inlineStr">
        <is>
          <t>↑ Spike</t>
        </is>
      </c>
      <c r="E10" s="3" t="inlineStr">
        <is>
          <t>340 attempts</t>
        </is>
      </c>
      <c r="F10" s="3" t="inlineStr">
        <is>
          <t>&lt; 200 attempts</t>
        </is>
      </c>
      <c r="G10" s="12" t="inlineStr">
        <is>
          <t>HIGH</t>
        </is>
      </c>
      <c r="H10" s="4" t="inlineStr">
        <is>
          <t>CISO</t>
        </is>
      </c>
      <c r="I10" s="4" t="inlineStr">
        <is>
          <t>2FA enforcement; staff phishing simulation</t>
        </is>
      </c>
    </row>
    <row r="11">
      <c r="A11" s="31" t="inlineStr">
        <is>
          <t>EWS-009</t>
        </is>
      </c>
      <c r="B11" s="4" t="inlineStr">
        <is>
          <t>Regulatory Risk</t>
        </is>
      </c>
      <c r="C11" s="4" t="inlineStr">
        <is>
          <t>Pending RBI audit observations</t>
        </is>
      </c>
      <c r="D11" s="41" t="inlineStr">
        <is>
          <t>↑ Increasing</t>
        </is>
      </c>
      <c r="E11" s="3" t="inlineStr">
        <is>
          <t>4 open</t>
        </is>
      </c>
      <c r="F11" s="3" t="inlineStr">
        <is>
          <t>&lt; 2 open</t>
        </is>
      </c>
      <c r="G11" s="9" t="inlineStr">
        <is>
          <t>MEDIUM</t>
        </is>
      </c>
      <c r="H11" s="4" t="inlineStr">
        <is>
          <t>Head - Compliance</t>
        </is>
      </c>
      <c r="I11" s="4" t="inlineStr">
        <is>
          <t>Close 2 observations by Jun-30; escalate to MD</t>
        </is>
      </c>
    </row>
    <row r="12">
      <c r="A12" s="31" t="inlineStr">
        <is>
          <t>EWS-010</t>
        </is>
      </c>
      <c r="B12" s="4" t="inlineStr">
        <is>
          <t>Credit Risk</t>
        </is>
      </c>
      <c r="C12" s="4" t="inlineStr">
        <is>
          <t>Collection efficiency — Rural segment</t>
        </is>
      </c>
      <c r="D12" s="43" t="inlineStr">
        <is>
          <t>↓ Declining</t>
        </is>
      </c>
      <c r="E12" s="3" t="inlineStr">
        <is>
          <t>93.1%</t>
        </is>
      </c>
      <c r="F12" s="3" t="inlineStr">
        <is>
          <t>&gt; 95%</t>
        </is>
      </c>
      <c r="G12" s="12" t="inlineStr">
        <is>
          <t>HIGH</t>
        </is>
      </c>
      <c r="H12" s="4" t="inlineStr">
        <is>
          <t>Zonal Head - Collections</t>
        </is>
      </c>
      <c r="I12" s="4" t="inlineStr">
        <is>
          <t>Deploy field agents; waiver campaign for rural NPA</t>
        </is>
      </c>
    </row>
    <row r="13">
      <c r="A13" s="31" t="inlineStr">
        <is>
          <t>EWS-011</t>
        </is>
      </c>
      <c r="B13" s="4" t="inlineStr">
        <is>
          <t>Reputation Risk</t>
        </is>
      </c>
      <c r="C13" s="4" t="inlineStr">
        <is>
          <t>Social media complaints (weekly)</t>
        </is>
      </c>
      <c r="D13" s="42" t="inlineStr">
        <is>
          <t>→ Stable</t>
        </is>
      </c>
      <c r="E13" s="3" t="inlineStr">
        <is>
          <t>28 complaints</t>
        </is>
      </c>
      <c r="F13" s="3" t="inlineStr">
        <is>
          <t>&lt; 50 complaints</t>
        </is>
      </c>
      <c r="G13" s="11" t="inlineStr">
        <is>
          <t>LOW</t>
        </is>
      </c>
      <c r="H13" s="4" t="inlineStr">
        <is>
          <t>Head - Customer Svc</t>
        </is>
      </c>
      <c r="I13" s="4" t="inlineStr">
        <is>
          <t>Monitor and resolve within TAT</t>
        </is>
      </c>
    </row>
    <row r="14">
      <c r="A14" s="31" t="inlineStr">
        <is>
          <t>EWS-012</t>
        </is>
      </c>
      <c r="B14" s="4" t="inlineStr">
        <is>
          <t>ALM Risk</t>
        </is>
      </c>
      <c r="C14" s="4" t="inlineStr">
        <is>
          <t>1-year maturity bucket gap</t>
        </is>
      </c>
      <c r="D14" s="41" t="inlineStr">
        <is>
          <t>↑ Widening</t>
        </is>
      </c>
      <c r="E14" s="3" t="inlineStr">
        <is>
          <t>₹420 Cr</t>
        </is>
      </c>
      <c r="F14" s="3" t="inlineStr">
        <is>
          <t>&lt; ₹500 Cr</t>
        </is>
      </c>
      <c r="G14" s="9" t="inlineStr">
        <is>
          <t>MEDIUM</t>
        </is>
      </c>
      <c r="H14" s="4" t="inlineStr">
        <is>
          <t>Head - Treasury</t>
        </is>
      </c>
      <c r="I14" s="4" t="inlineStr">
        <is>
          <t>Mobilise 1-year FD campaign to fill gap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2026-06-22T03:05:16Z</dcterms:created>
  <dcterms:modified xmlns:dcterms="http://purl.org/dc/terms/" xmlns:xsi="http://www.w3.org/2001/XMLSchema-instance" xsi:type="dcterms:W3CDTF">2026-06-22T03:05:16Z</dcterms:modified>
</cp:coreProperties>
</file>